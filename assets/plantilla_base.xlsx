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tables/table6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d65893d3af4e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0216d7538c1d47eb"/>
    <x:sheet xmlns:r="http://schemas.openxmlformats.org/officeDocument/2006/relationships" name="Movimientos" sheetId="2" r:id="R2817dd51fc9741ca"/>
    <x:sheet xmlns:r="http://schemas.openxmlformats.org/officeDocument/2006/relationships" name="Plan de inversión" sheetId="3" r:id="R0dfc15ebaeda44f6"/>
    <x:sheet xmlns:r="http://schemas.openxmlformats.org/officeDocument/2006/relationships" name="Objetivos" sheetId="4" r:id="R1229618d5c70456d"/>
    <x:sheet xmlns:r="http://schemas.openxmlformats.org/officeDocument/2006/relationships" name="Watchlist" sheetId="5" r:id="R9fd5126db8d74a23"/>
    <x:sheet xmlns:r="http://schemas.openxmlformats.org/officeDocument/2006/relationships" name="Recomendaciones" sheetId="6" r:id="R8d3bcfe6a7b443f3"/>
    <x:sheet xmlns:r="http://schemas.openxmlformats.org/officeDocument/2006/relationships" name="Configuración" sheetId="7" r:id="R0032215db263402c"/>
  </x:sheets>
</x:workbook>
</file>

<file path=xl/comments1.xml><?xml version="1.0" encoding="utf-8"?>
<x:comments xmlns:x="http://schemas.openxmlformats.org/spreadsheetml/2006/main">
  <x:authors>
    <x:author>tc={5DC7AF11-C6AB-EFE3-C2CD-9DC9440FB7FB}</x:author>
  </x:authors>
  <x:commentList>
    <x:comment ref="M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Se completa mediante fórmula. El agente debe leer este campo antes de analizar la cartera.</x:t>
        </x:r>
      </x:text>
    </x:comment>
  </x:commentList>
</x:comments>
</file>

<file path=xl/comments2.xml><?xml version="1.0" encoding="utf-8"?>
<x:comments xmlns:x="http://schemas.openxmlformats.org/spreadsheetml/2006/main">
  <x:authors>
    <x:author>tc={43C3DF49-74BF-B52B-EE0A-4C824307CDAF}</x:author>
    <x:author>tc={18C5E4B7-8C37-BA73-3CDA-2B6857E3CC89}</x:author>
  </x:authors>
  <x:commentList>
    <x:comment ref="J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Dato actualizado por el agente con fecha y fuente; no hace falta completarlo manualmente.</x:t>
        </x:r>
      </x:text>
    </x:comment>
    <x:comment ref="F5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Condición concreta que indicaría que la tesis dejó de ser válida. No debería ser solo una caída del precio.</x:t>
        </x:r>
      </x:text>
    </x:comment>
  </x:commentList>
</x:comments>
</file>

<file path=xl/comments3.xml><?xml version="1.0" encoding="utf-8"?>
<x:comments xmlns:x="http://schemas.openxmlformats.org/spreadsheetml/2006/main">
  <x:authors>
    <x:author>tc={12D72DFF-5655-CF09-AFC1-3F9BB7B42810}</x:author>
  </x:authors>
  <x:commentList>
    <x:comment ref="K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Guardar enlaces y fecha de consulta. No almacenar artículos completos.</x:t>
        </x:r>
      </x:text>
    </x:comment>
  </x:commentList>
</x:comments>
</file>

<file path=xl/comments4.xml><?xml version="1.0" encoding="utf-8"?>
<x:comments xmlns:x="http://schemas.openxmlformats.org/spreadsheetml/2006/main">
  <x:authors>
    <x:author>tc={9AE7A362-BA90-A05F-8EB4-A957A37F28FA}</x:author>
  </x:authors>
  <x:commentList>
    <x:comment ref="B1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El ejemplo está vacío para mostrar cómo aparece una advertencia de información faltante.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#,##0.00;[Red](#,##0.00);-"/>
    <x:numFmt numFmtId="202" formatCode="$#,##0.00;[Red]($#,##0.00);-"/>
    <x:numFmt numFmtId="203" formatCode="0.0%;[Red](0.0%);-"/>
    <x:numFmt numFmtId="204" formatCode="0.0x;[Red](0.0x);-"/>
    <x:numFmt numFmtId="205" formatCode="0"/>
  </x:numFmts>
  <x:fonts count="17">
    <x:font>
      <x:sz val="11"/>
      <x:name val="Carlito"/>
    </x:font>
    <x:font>
      <x:b/>
      <x:sz val="18"/>
      <x:color rgb="FFFFFFFF"/>
      <x:name val="Carlito"/>
    </x:font>
    <x:font>
      <x:sz val="10"/>
      <x:color rgb="FF244E6A"/>
      <x:name val="Carlito"/>
    </x:font>
    <x:font>
      <x:b/>
      <x:sz val="11"/>
      <x:color rgb="FFFFFFFF"/>
      <x:name val="Carlito"/>
    </x:font>
    <x:font>
      <x:b/>
      <x:sz val="11"/>
      <x:color rgb="FF244E6A"/>
      <x:name val="Carlito"/>
    </x:font>
    <x:font>
      <x:b/>
      <x:sz val="20"/>
      <x:color rgb="FF17324D"/>
      <x:name val="Carlito"/>
    </x:font>
    <x:font>
      <x:b/>
      <x:sz val="14"/>
      <x:color rgb="FF17324D"/>
      <x:name val="Carlito"/>
    </x:font>
    <x:font>
      <x:b/>
      <x:sz val="11"/>
      <x:color rgb="FF0000FF"/>
      <x:name val="Carlito"/>
    </x:font>
    <x:font>
      <x:b/>
      <x:sz val="11"/>
      <x:color rgb="FF008000"/>
      <x:name val="Carlito"/>
    </x:font>
    <x:font>
      <x:b/>
      <x:sz val="11"/>
      <x:name val="Carlito"/>
    </x:font>
    <x:font>
      <x:b/>
      <x:sz val="11"/>
      <x:color rgb="FFB91C1C"/>
      <x:name val="Carlito"/>
    </x:font>
    <x:font>
      <x:b/>
      <x:sz val="11"/>
      <x:color rgb="FF166534"/>
      <x:name val="Carlito"/>
    </x:font>
    <x:font>
      <x:i/>
      <x:sz val="11"/>
      <x:color rgb="FF244E6A"/>
      <x:name val="Carlito"/>
    </x:font>
    <x:font>
      <x:b/>
      <x:sz val="10"/>
      <x:color rgb="FFFFFFFF"/>
      <x:name val="Carlito"/>
    </x:font>
    <x:font>
      <x:sz val="10"/>
      <x:color rgb="FF111827"/>
      <x:name val="Carlito"/>
    </x:font>
    <x:font>
      <x:sz val="10"/>
      <x:color rgb="FF0000FF"/>
      <x:name val="Carlito"/>
    </x:font>
    <x:font>
      <x:sz val="10"/>
      <x:color rgb="FF008000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244E6A"/>
      </x:patternFill>
    </x:fill>
    <x:fill>
      <x:patternFill patternType="solid">
        <x:fgColor rgb="FFFFFFFF"/>
      </x:patternFill>
    </x:fill>
    <x:fill>
      <x:patternFill patternType="solid">
        <x:fgColor rgb="FFE2F2F1"/>
      </x:patternFill>
    </x:fill>
    <x:fill>
      <x:patternFill patternType="solid">
        <x:fgColor rgb="FF1C7C7D"/>
      </x:patternFill>
    </x:fill>
    <x:fill>
      <x:patternFill patternType="solid">
        <x:fgColor rgb="FFF3F4F6"/>
      </x:patternFill>
    </x:fill>
    <x:fill>
      <x:patternFill patternType="solid">
        <x:fgColor rgb="FFFFF7CC"/>
      </x:patternFill>
    </x:fill>
    <x:fill>
      <x:patternFill patternType="solid">
        <x:fgColor rgb="FFFEE2E2"/>
      </x:patternFill>
    </x:fill>
    <x:fill>
      <x:patternFill patternType="solid">
        <x:fgColor rgb="FFE8F5E9"/>
      </x:patternFill>
    </x:fill>
  </x:fills>
  <x:borders count="24">
    <x:border/>
    <x:border>
      <x:left style="thin">
        <x:color rgb="FFD7DEE5"/>
      </x:left>
      <x:top style="thin">
        <x:color rgb="FFD7DEE5"/>
      </x:top>
    </x:border>
    <x:border>
      <x:right style="thin">
        <x:color rgb="FFD7DEE5"/>
      </x:right>
      <x:top style="thin">
        <x:color rgb="FFD7DEE5"/>
      </x:top>
    </x:border>
    <x:border>
      <x:left style="thin">
        <x:color rgb="FFD7DEE5"/>
      </x:left>
    </x:border>
    <x:border>
      <x:right style="thin">
        <x:color rgb="FFD7DEE5"/>
      </x:right>
    </x:border>
    <x:border>
      <x:left style="thin">
        <x:color rgb="FFD7DEE5"/>
      </x:left>
      <x:bottom style="thin">
        <x:color rgb="FFD7DEE5"/>
      </x:bottom>
    </x:border>
    <x:border>
      <x:right style="thin">
        <x:color rgb="FFD7DEE5"/>
      </x:right>
      <x:bottom style="thin">
        <x:color rgb="FFD7DEE5"/>
      </x:bottom>
    </x:border>
    <x:border>
      <x:top style="thin">
        <x:color rgb="FFD7DEE5"/>
      </x:top>
    </x:border>
    <x:border>
      <x:bottom style="thin">
        <x:color rgb="FFD7DEE5"/>
      </x:bottom>
    </x:border>
    <x:border>
      <x:left style="thin">
        <x:color rgb="FFD7DEE5"/>
      </x:left>
      <x:top style="thin">
        <x:color rgb="FFD7DEE5"/>
      </x:top>
      <x:bottom style="thin">
        <x:color rgb="FFD7DEE5"/>
      </x:bottom>
    </x:border>
    <x:border>
      <x:top style="thin">
        <x:color rgb="FFD7DEE5"/>
      </x:top>
      <x:bottom style="thin">
        <x:color rgb="FFD7DEE5"/>
      </x:bottom>
    </x:border>
    <x:border>
      <x:right style="thin">
        <x:color rgb="FFD7DEE5"/>
      </x:right>
      <x:top style="thin">
        <x:color rgb="FFD7DEE5"/>
      </x:top>
      <x:bottom style="thin">
        <x:color rgb="FFD7DEE5"/>
      </x:bottom>
    </x:border>
    <x:border>
      <x:left style="thin">
        <x:color rgb="FFD7DEE5"/>
      </x:left>
      <x:right style="thin">
        <x:color rgb="FFD7DEE5"/>
      </x:right>
      <x:top style="thin">
        <x:color rgb="FFD7DEE5"/>
      </x:top>
      <x:bottom style="thin">
        <x:color rgb="FFD7DEE5"/>
      </x:bottom>
    </x:border>
    <x:border>
      <x:left style="thin">
        <x:color rgb="FFE6C75B"/>
      </x:left>
      <x:top style="thin">
        <x:color rgb="FFE6C75B"/>
      </x:top>
    </x:border>
    <x:border>
      <x:top style="thin">
        <x:color rgb="FFE6C75B"/>
      </x:top>
    </x:border>
    <x:border>
      <x:right style="thin">
        <x:color rgb="FFE6C75B"/>
      </x:right>
      <x:top style="thin">
        <x:color rgb="FFE6C75B"/>
      </x:top>
    </x:border>
    <x:border>
      <x:left style="thin">
        <x:color rgb="FFE6C75B"/>
      </x:left>
    </x:border>
    <x:border>
      <x:right style="thin">
        <x:color rgb="FFE6C75B"/>
      </x:right>
    </x:border>
    <x:border>
      <x:left style="thin">
        <x:color rgb="FFE6C75B"/>
      </x:left>
      <x:bottom style="thin">
        <x:color rgb="FFE6C75B"/>
      </x:bottom>
    </x:border>
    <x:border>
      <x:bottom style="thin">
        <x:color rgb="FFE6C75B"/>
      </x:bottom>
    </x:border>
    <x:border>
      <x:right style="thin">
        <x:color rgb="FFE6C75B"/>
      </x:right>
      <x:bottom style="thin">
        <x:color rgb="FFE6C75B"/>
      </x:bottom>
    </x:border>
    <x:border>
      <x:left style="thin">
        <x:color rgb="FF1C7C7D"/>
      </x:left>
      <x:top style="thin">
        <x:color rgb="FF1C7C7D"/>
      </x:top>
      <x:bottom style="thin">
        <x:color rgb="FF1C7C7D"/>
      </x:bottom>
    </x:border>
    <x:border>
      <x:top style="thin">
        <x:color rgb="FF1C7C7D"/>
      </x:top>
      <x:bottom style="thin">
        <x:color rgb="FF1C7C7D"/>
      </x:bottom>
    </x:border>
    <x:border>
      <x:right style="thin">
        <x:color rgb="FF1C7C7D"/>
      </x:right>
      <x:top style="thin">
        <x:color rgb="FF1C7C7D"/>
      </x:top>
      <x:bottom style="thin">
        <x:color rgb="FF1C7C7D"/>
      </x:bottom>
    </x:border>
  </x:borders>
  <x:cellStyleXfs count="1">
    <x:xf numFmtId="0" fontId="0" fillId="0" borderId="0"/>
  </x:cellStyleXfs>
  <x:cellXfs count="1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5" borderId="1" xfId="0" applyNumberFormat="1" applyFont="1" applyFill="1" applyBorder="1" applyAlignment="1">
      <x:alignment horizontal="center"/>
    </x:xf>
    <x:xf numFmtId="0" fontId="0" fillId="5" borderId="2" xfId="0" applyNumberFormat="1" applyFont="1" applyFill="1" applyBorder="1" applyAlignment="1">
      <x:alignment horizontal="center"/>
    </x:xf>
    <x:xf numFmtId="0" fontId="0" fillId="5" borderId="3" xfId="0" applyNumberFormat="1" applyFont="1" applyFill="1" applyBorder="1" applyAlignment="1">
      <x:alignment horizontal="center"/>
    </x:xf>
    <x:xf numFmtId="0" fontId="0" fillId="5" borderId="4" xfId="0" applyNumberFormat="1" applyFont="1" applyFill="1" applyBorder="1" applyAlignment="1">
      <x:alignment horizontal="center"/>
    </x:xf>
    <x:xf numFmtId="0" fontId="0" fillId="5" borderId="5" xfId="0" applyNumberFormat="1" applyFont="1" applyFill="1" applyBorder="1" applyAlignment="1">
      <x:alignment horizontal="center"/>
    </x:xf>
    <x:xf numFmtId="0" fontId="0" fillId="5" borderId="6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 applyAlignment="1">
      <x:alignment horizontal="center" vertical="center"/>
    </x:xf>
    <x:xf numFmtId="0" fontId="0" fillId="5" borderId="2" xfId="0" applyNumberFormat="1" applyFont="1" applyFill="1" applyBorder="1" applyAlignment="1">
      <x:alignment horizontal="center" vertical="center"/>
    </x:xf>
    <x:xf numFmtId="0" fontId="0" fillId="5" borderId="3" xfId="0" applyNumberFormat="1" applyFont="1" applyFill="1" applyBorder="1" applyAlignment="1">
      <x:alignment horizontal="center" vertical="center"/>
    </x:xf>
    <x:xf numFmtId="0" fontId="0" fillId="5" borderId="4" xfId="0" applyNumberFormat="1" applyFont="1" applyFill="1" applyBorder="1" applyAlignment="1">
      <x:alignment horizontal="center" vertical="center"/>
    </x:xf>
    <x:xf numFmtId="0" fontId="0" fillId="5" borderId="5" xfId="0" applyNumberFormat="1" applyFont="1" applyFill="1" applyBorder="1" applyAlignment="1">
      <x:alignment horizontal="center" vertical="center"/>
    </x:xf>
    <x:xf numFmtId="0" fontId="0" fillId="5" borderId="6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 applyAlignment="1">
      <x:alignment horizontal="center" vertical="center"/>
    </x:xf>
    <x:xf numFmtId="0" fontId="0" fillId="6" borderId="2" xfId="0" applyNumberFormat="1" applyFont="1" applyFill="1" applyBorder="1" applyAlignment="1">
      <x:alignment horizontal="center" vertical="center"/>
    </x:xf>
    <x:xf numFmtId="0" fontId="4" fillId="6" borderId="1" xfId="0" applyNumberFormat="1" applyFont="1" applyFill="1" applyBorder="1" applyAlignment="1">
      <x:alignment horizontal="center" vertical="center"/>
    </x:xf>
    <x:xf numFmtId="0" fontId="4" fillId="6" borderId="2" xfId="0" applyNumberFormat="1" applyFont="1" applyFill="1" applyBorder="1" applyAlignment="1">
      <x:alignment horizontal="center" vertical="center"/>
    </x:xf>
    <x:xf numFmtId="0" fontId="5" fillId="5" borderId="3" xfId="0" applyNumberFormat="1" applyFont="1" applyFill="1" applyBorder="1" applyAlignment="1">
      <x:alignment horizontal="center" vertical="center"/>
    </x:xf>
    <x:xf numFmtId="0" fontId="0" fillId="5" borderId="7" xfId="0" applyNumberFormat="1" applyFont="1" applyFill="1" applyBorder="1"/>
    <x:xf numFmtId="0" fontId="0" fillId="5" borderId="8" xfId="0" applyNumberFormat="1" applyFont="1" applyFill="1" applyBorder="1"/>
    <x:xf numFmtId="0" fontId="0" fillId="5" borderId="7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 applyAlignment="1">
      <x:alignment horizontal="center"/>
    </x:xf>
    <x:xf numFmtId="0" fontId="0" fillId="5" borderId="8" xfId="0" applyNumberFormat="1" applyFont="1" applyFill="1" applyBorder="1" applyAlignment="1">
      <x:alignment horizontal="center"/>
    </x:xf>
    <x:xf numFmtId="0" fontId="0" fillId="5" borderId="7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 applyAlignment="1">
      <x:alignment horizontal="center" vertical="center"/>
    </x:xf>
    <x:xf numFmtId="0" fontId="0" fillId="5" borderId="8" xfId="0" applyNumberFormat="1" applyFont="1" applyFill="1" applyBorder="1" applyAlignment="1">
      <x:alignment horizontal="center" vertical="center"/>
    </x:xf>
    <x:xf numFmtId="0" fontId="0" fillId="6" borderId="7" xfId="0" applyNumberFormat="1" applyFont="1" applyFill="1" applyBorder="1" applyAlignment="1">
      <x:alignment horizontal="center" vertical="center"/>
    </x:xf>
    <x:xf numFmtId="0" fontId="4" fillId="6" borderId="7" xfId="0" applyNumberFormat="1" applyFont="1" applyFill="1" applyBorder="1" applyAlignment="1">
      <x:alignment horizontal="center" vertical="center"/>
    </x:xf>
    <x:xf numFmtId="0" fontId="6" fillId="5" borderId="3" xfId="0" applyNumberFormat="1" applyFont="1" applyFill="1" applyBorder="1" applyAlignment="1">
      <x:alignment horizontal="center" vertical="center"/>
    </x:xf>
    <x:xf numFmtId="0" fontId="0" fillId="5" borderId="9" xfId="0" applyNumberFormat="1" applyFont="1" applyFill="1" applyBorder="1"/>
    <x:xf numFmtId="0" fontId="0" fillId="5" borderId="10" xfId="0" applyNumberFormat="1" applyFont="1" applyFill="1" applyBorder="1"/>
    <x:xf numFmtId="0" fontId="0" fillId="5" borderId="11" xfId="0" applyNumberFormat="1" applyFont="1" applyFill="1" applyBorder="1"/>
    <x:xf numFmtId="0" fontId="0" fillId="5" borderId="9" xfId="0" applyNumberFormat="1" applyFont="1" applyFill="1" applyBorder="1" applyAlignment="1">
      <x:alignment vertical="center"/>
    </x:xf>
    <x:xf numFmtId="0" fontId="0" fillId="5" borderId="10" xfId="0" applyNumberFormat="1" applyFont="1" applyFill="1" applyBorder="1" applyAlignment="1">
      <x:alignment vertical="center"/>
    </x:xf>
    <x:xf numFmtId="0" fontId="0" fillId="5" borderId="11" xfId="0" applyNumberFormat="1" applyFont="1" applyFill="1" applyBorder="1" applyAlignment="1">
      <x:alignment vertical="center"/>
    </x:xf>
    <x:xf numFmtId="0" fontId="0" fillId="7" borderId="9" xfId="0" applyNumberFormat="1" applyFont="1" applyFill="1" applyBorder="1" applyAlignment="1">
      <x:alignment vertical="center"/>
    </x:xf>
    <x:xf numFmtId="0" fontId="3" fillId="7" borderId="9" xfId="0" applyNumberFormat="1" applyFont="1" applyFill="1" applyBorder="1" applyAlignment="1">
      <x:alignment vertical="center"/>
    </x:xf>
    <x:xf numFmtId="0" fontId="3" fillId="7" borderId="9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0" fillId="8" borderId="9" xfId="0" applyNumberFormat="1" applyFont="1" applyFill="1" applyBorder="1"/>
    <x:xf numFmtId="0" fontId="0" fillId="8" borderId="10" xfId="0" applyNumberFormat="1" applyFont="1" applyFill="1" applyBorder="1"/>
    <x:xf numFmtId="0" fontId="0" fillId="8" borderId="11" xfId="0" applyNumberFormat="1" applyFont="1" applyFill="1" applyBorder="1"/>
    <x:xf numFmtId="0" fontId="0" fillId="8" borderId="9" xfId="0" applyNumberFormat="1" applyFont="1" applyFill="1" applyBorder="1" applyAlignment="1">
      <x:alignment vertical="center"/>
    </x:xf>
    <x:xf numFmtId="0" fontId="0" fillId="8" borderId="10" xfId="0" applyNumberFormat="1" applyFont="1" applyFill="1" applyBorder="1" applyAlignment="1">
      <x:alignment vertical="center"/>
    </x:xf>
    <x:xf numFmtId="0" fontId="0" fillId="8" borderId="11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/>
    <x:xf numFmtId="0" fontId="0" fillId="0" borderId="12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vertical="center" wrapText="1"/>
    </x:xf>
    <x:xf numFmtId="0" fontId="7" fillId="0" borderId="12" xfId="0" applyNumberFormat="1" applyFont="1" applyFill="1" applyBorder="1" applyAlignment="1">
      <x:alignment vertical="center" wrapText="1"/>
    </x:xf>
    <x:xf numFmtId="0" fontId="8" fillId="0" borderId="12" xfId="0" applyNumberFormat="1" applyFont="1" applyFill="1" applyBorder="1" applyAlignment="1">
      <x:alignment vertical="center" wrapText="1"/>
    </x:xf>
    <x:xf numFmtId="0" fontId="0" fillId="8" borderId="12" xfId="0" applyNumberFormat="1" applyFont="1" applyFill="1" applyBorder="1" applyAlignment="1">
      <x:alignment vertical="center" wrapText="1"/>
    </x:xf>
    <x:xf numFmtId="0" fontId="9" fillId="8" borderId="12" xfId="0" applyNumberFormat="1" applyFont="1" applyFill="1" applyBorder="1" applyAlignment="1">
      <x:alignment vertical="center" wrapText="1"/>
    </x:xf>
    <x:xf numFmtId="0" fontId="0" fillId="9" borderId="12" xfId="0" applyNumberFormat="1" applyFont="1" applyFill="1" applyBorder="1" applyAlignment="1">
      <x:alignment vertical="center" wrapText="1"/>
    </x:xf>
    <x:xf numFmtId="0" fontId="10" fillId="9" borderId="12" xfId="0" applyNumberFormat="1" applyFont="1" applyFill="1" applyBorder="1" applyAlignment="1">
      <x:alignment vertical="center" wrapText="1"/>
    </x:xf>
    <x:xf numFmtId="0" fontId="0" fillId="10" borderId="12" xfId="0" applyNumberFormat="1" applyFont="1" applyFill="1" applyBorder="1" applyAlignment="1">
      <x:alignment vertical="center" wrapText="1"/>
    </x:xf>
    <x:xf numFmtId="0" fontId="10" fillId="10" borderId="12" xfId="0" applyNumberFormat="1" applyFont="1" applyFill="1" applyBorder="1" applyAlignment="1">
      <x:alignment vertical="center" wrapText="1"/>
    </x:xf>
    <x:xf numFmtId="0" fontId="0" fillId="11" borderId="12" xfId="0" applyNumberFormat="1" applyFont="1" applyFill="1" applyBorder="1" applyAlignment="1">
      <x:alignment vertical="center" wrapText="1"/>
    </x:xf>
    <x:xf numFmtId="0" fontId="11" fillId="11" borderId="12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12" fillId="9" borderId="0" xfId="0" applyNumberFormat="1" applyFont="1" applyFill="1" applyBorder="1"/>
    <x:xf numFmtId="0" fontId="12" fillId="9" borderId="13" xfId="0" applyNumberFormat="1" applyFont="1" applyFill="1" applyBorder="1"/>
    <x:xf numFmtId="0" fontId="12" fillId="9" borderId="14" xfId="0" applyNumberFormat="1" applyFont="1" applyFill="1" applyBorder="1"/>
    <x:xf numFmtId="0" fontId="12" fillId="9" borderId="15" xfId="0" applyNumberFormat="1" applyFont="1" applyFill="1" applyBorder="1"/>
    <x:xf numFmtId="0" fontId="12" fillId="9" borderId="16" xfId="0" applyNumberFormat="1" applyFont="1" applyFill="1" applyBorder="1"/>
    <x:xf numFmtId="0" fontId="12" fillId="9" borderId="17" xfId="0" applyNumberFormat="1" applyFont="1" applyFill="1" applyBorder="1"/>
    <x:xf numFmtId="0" fontId="12" fillId="9" borderId="18" xfId="0" applyNumberFormat="1" applyFont="1" applyFill="1" applyBorder="1"/>
    <x:xf numFmtId="0" fontId="12" fillId="9" borderId="19" xfId="0" applyNumberFormat="1" applyFont="1" applyFill="1" applyBorder="1"/>
    <x:xf numFmtId="0" fontId="12" fillId="9" borderId="20" xfId="0" applyNumberFormat="1" applyFont="1" applyFill="1" applyBorder="1"/>
    <x:xf numFmtId="0" fontId="12" fillId="9" borderId="13" xfId="0" applyNumberFormat="1" applyFont="1" applyFill="1" applyBorder="1" applyAlignment="1">
      <x:alignment wrapText="1"/>
    </x:xf>
    <x:xf numFmtId="0" fontId="12" fillId="9" borderId="14" xfId="0" applyNumberFormat="1" applyFont="1" applyFill="1" applyBorder="1" applyAlignment="1">
      <x:alignment wrapText="1"/>
    </x:xf>
    <x:xf numFmtId="0" fontId="12" fillId="9" borderId="15" xfId="0" applyNumberFormat="1" applyFont="1" applyFill="1" applyBorder="1" applyAlignment="1">
      <x:alignment wrapText="1"/>
    </x:xf>
    <x:xf numFmtId="0" fontId="12" fillId="9" borderId="16" xfId="0" applyNumberFormat="1" applyFont="1" applyFill="1" applyBorder="1" applyAlignment="1">
      <x:alignment wrapText="1"/>
    </x:xf>
    <x:xf numFmtId="0" fontId="12" fillId="9" borderId="0" xfId="0" applyNumberFormat="1" applyFont="1" applyFill="1" applyBorder="1" applyAlignment="1">
      <x:alignment wrapText="1"/>
    </x:xf>
    <x:xf numFmtId="0" fontId="12" fillId="9" borderId="17" xfId="0" applyNumberFormat="1" applyFont="1" applyFill="1" applyBorder="1" applyAlignment="1">
      <x:alignment wrapText="1"/>
    </x:xf>
    <x:xf numFmtId="0" fontId="12" fillId="9" borderId="18" xfId="0" applyNumberFormat="1" applyFont="1" applyFill="1" applyBorder="1" applyAlignment="1">
      <x:alignment wrapText="1"/>
    </x:xf>
    <x:xf numFmtId="0" fontId="12" fillId="9" borderId="19" xfId="0" applyNumberFormat="1" applyFont="1" applyFill="1" applyBorder="1" applyAlignment="1">
      <x:alignment wrapText="1"/>
    </x:xf>
    <x:xf numFmtId="0" fontId="12" fillId="9" borderId="20" xfId="0" applyNumberFormat="1" applyFont="1" applyFill="1" applyBorder="1" applyAlignment="1">
      <x:alignment wrapText="1"/>
    </x:xf>
    <x:xf numFmtId="0" fontId="12" fillId="9" borderId="13" xfId="0" applyNumberFormat="1" applyFont="1" applyFill="1" applyBorder="1" applyAlignment="1">
      <x:alignment vertical="center" wrapText="1"/>
    </x:xf>
    <x:xf numFmtId="0" fontId="12" fillId="9" borderId="14" xfId="0" applyNumberFormat="1" applyFont="1" applyFill="1" applyBorder="1" applyAlignment="1">
      <x:alignment vertical="center" wrapText="1"/>
    </x:xf>
    <x:xf numFmtId="0" fontId="12" fillId="9" borderId="15" xfId="0" applyNumberFormat="1" applyFont="1" applyFill="1" applyBorder="1" applyAlignment="1">
      <x:alignment vertical="center" wrapText="1"/>
    </x:xf>
    <x:xf numFmtId="0" fontId="12" fillId="9" borderId="16" xfId="0" applyNumberFormat="1" applyFont="1" applyFill="1" applyBorder="1" applyAlignment="1">
      <x:alignment vertical="center" wrapText="1"/>
    </x:xf>
    <x:xf numFmtId="0" fontId="12" fillId="9" borderId="0" xfId="0" applyNumberFormat="1" applyFont="1" applyFill="1" applyBorder="1" applyAlignment="1">
      <x:alignment vertical="center" wrapText="1"/>
    </x:xf>
    <x:xf numFmtId="0" fontId="12" fillId="9" borderId="17" xfId="0" applyNumberFormat="1" applyFont="1" applyFill="1" applyBorder="1" applyAlignment="1">
      <x:alignment vertical="center" wrapText="1"/>
    </x:xf>
    <x:xf numFmtId="0" fontId="12" fillId="9" borderId="18" xfId="0" applyNumberFormat="1" applyFont="1" applyFill="1" applyBorder="1" applyAlignment="1">
      <x:alignment vertical="center" wrapText="1"/>
    </x:xf>
    <x:xf numFmtId="0" fontId="12" fillId="9" borderId="19" xfId="0" applyNumberFormat="1" applyFont="1" applyFill="1" applyBorder="1" applyAlignment="1">
      <x:alignment vertical="center" wrapText="1"/>
    </x:xf>
    <x:xf numFmtId="0" fontId="12" fillId="9" borderId="2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13" fillId="7" borderId="0" xfId="0" applyNumberFormat="1" applyFont="1" applyFill="1" applyBorder="1"/>
    <x:xf numFmtId="0" fontId="13" fillId="7" borderId="21" xfId="0" applyNumberFormat="1" applyFont="1" applyFill="1" applyBorder="1"/>
    <x:xf numFmtId="0" fontId="13" fillId="7" borderId="22" xfId="0" applyNumberFormat="1" applyFont="1" applyFill="1" applyBorder="1"/>
    <x:xf numFmtId="0" fontId="13" fillId="7" borderId="23" xfId="0" applyNumberFormat="1" applyFont="1" applyFill="1" applyBorder="1"/>
    <x:xf numFmtId="0" fontId="13" fillId="7" borderId="21" xfId="0" applyNumberFormat="1" applyFont="1" applyFill="1" applyBorder="1" applyAlignment="1">
      <x:alignment wrapText="1"/>
    </x:xf>
    <x:xf numFmtId="0" fontId="13" fillId="7" borderId="22" xfId="0" applyNumberFormat="1" applyFont="1" applyFill="1" applyBorder="1" applyAlignment="1">
      <x:alignment wrapText="1"/>
    </x:xf>
    <x:xf numFmtId="0" fontId="13" fillId="7" borderId="23" xfId="0" applyNumberFormat="1" applyFont="1" applyFill="1" applyBorder="1" applyAlignment="1">
      <x:alignment wrapText="1"/>
    </x:xf>
    <x:xf numFmtId="0" fontId="13" fillId="7" borderId="21" xfId="0" applyNumberFormat="1" applyFont="1" applyFill="1" applyBorder="1" applyAlignment="1">
      <x:alignment vertical="center" wrapText="1"/>
    </x:xf>
    <x:xf numFmtId="0" fontId="13" fillId="7" borderId="22" xfId="0" applyNumberFormat="1" applyFont="1" applyFill="1" applyBorder="1" applyAlignment="1">
      <x:alignment vertical="center" wrapText="1"/>
    </x:xf>
    <x:xf numFmtId="0" fontId="13" fillId="7" borderId="23" xfId="0" applyNumberFormat="1" applyFont="1" applyFill="1" applyBorder="1" applyAlignment="1">
      <x:alignment vertical="center" wrapText="1"/>
    </x:xf>
    <x:xf numFmtId="0" fontId="14" fillId="0" borderId="0" xfId="0" applyNumberFormat="1" applyFont="1" applyFill="1" applyBorder="1"/>
    <x:xf numFmtId="0" fontId="14" fillId="0" borderId="8" xfId="0" applyNumberFormat="1" applyFont="1" applyFill="1" applyBorder="1"/>
    <x:xf numFmtId="0" fontId="14" fillId="0" borderId="10" xfId="0" applyNumberFormat="1" applyFont="1" applyFill="1" applyBorder="1"/>
    <x:xf numFmtId="0" fontId="14" fillId="0" borderId="8" xfId="0" applyNumberFormat="1" applyFont="1" applyFill="1" applyBorder="1" applyAlignment="1">
      <x:alignment vertical="center"/>
    </x:xf>
    <x:xf numFmtId="0" fontId="14" fillId="0" borderId="10" xfId="0" applyNumberFormat="1" applyFont="1" applyFill="1" applyBorder="1" applyAlignment="1">
      <x:alignment vertical="center"/>
    </x:xf>
    <x:xf numFmtId="0" fontId="15" fillId="0" borderId="8" xfId="0" applyNumberFormat="1" applyFont="1" applyFill="1" applyBorder="1" applyAlignment="1">
      <x:alignment vertical="center"/>
    </x:xf>
    <x:xf numFmtId="0" fontId="15" fillId="0" borderId="10" xfId="0" applyNumberFormat="1" applyFont="1" applyFill="1" applyBorder="1" applyAlignment="1">
      <x:alignment vertical="center"/>
    </x:xf>
    <x:xf numFmtId="0" fontId="14" fillId="8" borderId="8" xfId="0" applyNumberFormat="1" applyFont="1" applyFill="1" applyBorder="1" applyAlignment="1">
      <x:alignment vertical="center"/>
    </x:xf>
    <x:xf numFmtId="0" fontId="14" fillId="8" borderId="10" xfId="0" applyNumberFormat="1" applyFont="1" applyFill="1" applyBorder="1" applyAlignment="1">
      <x:alignment vertical="center"/>
    </x:xf>
    <x:xf numFmtId="200" fontId="15" fillId="0" borderId="8" xfId="0" applyNumberFormat="1" applyFont="1" applyFill="1" applyBorder="1" applyAlignment="1">
      <x:alignment vertical="center"/>
    </x:xf>
    <x:xf numFmtId="200" fontId="15" fillId="0" borderId="10" xfId="0" applyNumberFormat="1" applyFont="1" applyFill="1" applyBorder="1" applyAlignment="1">
      <x:alignment vertical="center"/>
    </x:xf>
    <x:xf numFmtId="201" fontId="15" fillId="0" borderId="8" xfId="0" applyNumberFormat="1" applyFont="1" applyFill="1" applyBorder="1" applyAlignment="1">
      <x:alignment vertical="center"/>
    </x:xf>
    <x:xf numFmtId="201" fontId="15" fillId="0" borderId="10" xfId="0" applyNumberFormat="1" applyFont="1" applyFill="1" applyBorder="1" applyAlignment="1">
      <x:alignment vertical="center"/>
    </x:xf>
    <x:xf numFmtId="202" fontId="15" fillId="0" borderId="8" xfId="0" applyNumberFormat="1" applyFont="1" applyFill="1" applyBorder="1" applyAlignment="1">
      <x:alignment vertical="center"/>
    </x:xf>
    <x:xf numFmtId="202" fontId="14" fillId="8" borderId="8" xfId="0" applyNumberFormat="1" applyFont="1" applyFill="1" applyBorder="1" applyAlignment="1">
      <x:alignment vertical="center"/>
    </x:xf>
    <x:xf numFmtId="202" fontId="15" fillId="0" borderId="10" xfId="0" applyNumberFormat="1" applyFont="1" applyFill="1" applyBorder="1" applyAlignment="1">
      <x:alignment vertical="center"/>
    </x:xf>
    <x:xf numFmtId="202" fontId="14" fillId="8" borderId="10" xfId="0" applyNumberFormat="1" applyFont="1" applyFill="1" applyBorder="1" applyAlignment="1">
      <x:alignment vertical="center"/>
    </x:xf>
    <x:xf numFmtId="202" fontId="15" fillId="0" borderId="8" xfId="0" applyNumberFormat="1" applyFont="1" applyFill="1" applyBorder="1" applyAlignment="1">
      <x:alignment vertical="center" wrapText="1"/>
    </x:xf>
    <x:xf numFmtId="202" fontId="15" fillId="0" borderId="10" xfId="0" applyNumberFormat="1" applyFont="1" applyFill="1" applyBorder="1" applyAlignment="1">
      <x:alignment vertical="center" wrapText="1"/>
    </x:xf>
    <x:xf numFmtId="0" fontId="14" fillId="8" borderId="8" xfId="0" applyNumberFormat="1" applyFont="1" applyFill="1" applyBorder="1" applyAlignment="1">
      <x:alignment vertical="center" wrapText="1"/>
    </x:xf>
    <x:xf numFmtId="0" fontId="14" fillId="8" borderId="10" xfId="0" applyNumberFormat="1" applyFont="1" applyFill="1" applyBorder="1" applyAlignment="1">
      <x:alignment vertical="center" wrapText="1"/>
    </x:xf>
    <x:xf numFmtId="0" fontId="14" fillId="11" borderId="8" xfId="0" applyNumberFormat="1" applyFont="1" applyFill="1" applyBorder="1" applyAlignment="1">
      <x:alignment vertical="center"/>
    </x:xf>
    <x:xf numFmtId="0" fontId="14" fillId="11" borderId="10" xfId="0" applyNumberFormat="1" applyFont="1" applyFill="1" applyBorder="1" applyAlignment="1">
      <x:alignment vertical="center"/>
    </x:xf>
    <x:xf numFmtId="0" fontId="16" fillId="11" borderId="8" xfId="0" applyNumberFormat="1" applyFont="1" applyFill="1" applyBorder="1" applyAlignment="1">
      <x:alignment vertical="center"/>
    </x:xf>
    <x:xf numFmtId="0" fontId="16" fillId="11" borderId="10" xfId="0" applyNumberFormat="1" applyFont="1" applyFill="1" applyBorder="1" applyAlignment="1">
      <x:alignment vertical="center"/>
    </x:xf>
    <x:xf numFmtId="203" fontId="15" fillId="0" borderId="8" xfId="0" applyNumberFormat="1" applyFont="1" applyFill="1" applyBorder="1" applyAlignment="1">
      <x:alignment vertical="center"/>
    </x:xf>
    <x:xf numFmtId="203" fontId="15" fillId="0" borderId="10" xfId="0" applyNumberFormat="1" applyFont="1" applyFill="1" applyBorder="1" applyAlignment="1">
      <x:alignment vertical="center"/>
    </x:xf>
    <x:xf numFmtId="202" fontId="16" fillId="11" borderId="8" xfId="0" applyNumberFormat="1" applyFont="1" applyFill="1" applyBorder="1" applyAlignment="1">
      <x:alignment vertical="center"/>
    </x:xf>
    <x:xf numFmtId="202" fontId="16" fillId="11" borderId="10" xfId="0" applyNumberFormat="1" applyFont="1" applyFill="1" applyBorder="1" applyAlignment="1">
      <x:alignment vertical="center"/>
    </x:xf>
    <x:xf numFmtId="0" fontId="15" fillId="0" borderId="8" xfId="0" applyNumberFormat="1" applyFont="1" applyFill="1" applyBorder="1" applyAlignment="1">
      <x:alignment vertical="center" wrapText="1"/>
    </x:xf>
    <x:xf numFmtId="0" fontId="15" fillId="0" borderId="10" xfId="0" applyNumberFormat="1" applyFont="1" applyFill="1" applyBorder="1" applyAlignment="1">
      <x:alignment vertical="center" wrapText="1"/>
    </x:xf>
    <x:xf numFmtId="203" fontId="14" fillId="8" borderId="8" xfId="0" applyNumberFormat="1" applyFont="1" applyFill="1" applyBorder="1" applyAlignment="1">
      <x:alignment vertical="center"/>
    </x:xf>
    <x:xf numFmtId="203" fontId="14" fillId="8" borderId="10" xfId="0" applyNumberFormat="1" applyFont="1" applyFill="1" applyBorder="1" applyAlignment="1">
      <x:alignment vertical="center"/>
    </x:xf>
    <x:xf numFmtId="204" fontId="16" fillId="11" borderId="8" xfId="0" applyNumberFormat="1" applyFont="1" applyFill="1" applyBorder="1" applyAlignment="1">
      <x:alignment vertical="center"/>
    </x:xf>
    <x:xf numFmtId="204" fontId="16" fillId="11" borderId="10" xfId="0" applyNumberFormat="1" applyFont="1" applyFill="1" applyBorder="1" applyAlignment="1">
      <x:alignment vertical="center"/>
    </x:xf>
    <x:xf numFmtId="203" fontId="16" fillId="11" borderId="8" xfId="0" applyNumberFormat="1" applyFont="1" applyFill="1" applyBorder="1" applyAlignment="1">
      <x:alignment vertical="center"/>
    </x:xf>
    <x:xf numFmtId="203" fontId="16" fillId="11" borderId="10" xfId="0" applyNumberFormat="1" applyFont="1" applyFill="1" applyBorder="1" applyAlignment="1">
      <x:alignment vertical="center"/>
    </x:xf>
    <x:xf numFmtId="205" fontId="16" fillId="11" borderId="8" xfId="0" applyNumberFormat="1" applyFont="1" applyFill="1" applyBorder="1" applyAlignment="1">
      <x:alignment vertical="center"/>
    </x:xf>
    <x:xf numFmtId="205" fontId="16" fillId="11" borderId="10" xfId="0" applyNumberFormat="1" applyFont="1" applyFill="1" applyBorder="1" applyAlignment="1">
      <x:alignment vertical="center"/>
    </x:xf>
    <x:xf numFmtId="200" fontId="16" fillId="11" borderId="8" xfId="0" applyNumberFormat="1" applyFont="1" applyFill="1" applyBorder="1" applyAlignment="1">
      <x:alignment vertical="center"/>
    </x:xf>
    <x:xf numFmtId="200" fontId="16" fillId="11" borderId="10" xfId="0" applyNumberFormat="1" applyFont="1" applyFill="1" applyBorder="1" applyAlignment="1">
      <x:alignment vertical="center"/>
    </x:xf>
    <x:xf numFmtId="0" fontId="16" fillId="11" borderId="8" xfId="0" applyNumberFormat="1" applyFont="1" applyFill="1" applyBorder="1" applyAlignment="1">
      <x:alignment vertical="center" wrapText="1"/>
    </x:xf>
    <x:xf numFmtId="0" fontId="16" fillId="11" borderId="10" xfId="0" applyNumberFormat="1" applyFont="1" applyFill="1" applyBorder="1" applyAlignment="1">
      <x:alignment vertical="center" wrapText="1"/>
    </x:xf>
    <x:xf numFmtId="0" fontId="14" fillId="0" borderId="8" xfId="0" applyNumberFormat="1" applyFont="1" applyFill="1" applyBorder="1" applyAlignment="1">
      <x:alignment vertical="center" wrapText="1"/>
    </x:xf>
    <x:xf numFmtId="0" fontId="14" fillId="0" borderId="1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2"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E8F5E9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E8F5E9"/>
        </x:patternFill>
      </x:fill>
    </x:dxf>
    <x:dxf>
      <x:font>
        <x:b/>
        <x:color rgb="FFB91C1C"/>
      </x:font>
      <x:fill>
        <x:patternFill patternType="solid">
          <x:bgColor rgb="FFFFF7CC"/>
        </x:patternFill>
      </x:fill>
    </x:dxf>
    <x:dxf>
      <x:font>
        <x:b/>
        <x:color rgb="FFB91C1C"/>
      </x:font>
      <x:fill>
        <x:patternFill patternType="solid">
          <x:bgColor rgb="FFFFF7CC"/>
        </x:patternFill>
      </x:fill>
    </x:dxf>
    <x:dxf>
      <x:font>
        <x:b/>
        <x:color rgb="FFB91C1C"/>
      </x:font>
      <x:fill>
        <x:patternFill patternType="solid">
          <x:bgColor rgb="FFFFF7CC"/>
        </x:patternFill>
      </x:fill>
    </x:dxf>
    <x:dxf>
      <x:font>
        <x:b/>
        <x:color rgb="FFB91C1C"/>
      </x:font>
      <x:fill>
        <x:patternFill patternType="solid">
          <x:bgColor rgb="FFFFF7CC"/>
        </x:patternFill>
      </x:fill>
    </x:dxf>
    <x:dxf>
      <x:font>
        <x:b/>
        <x:color rgb="FFB91C1C"/>
      </x:font>
      <x:fill>
        <x:patternFill patternType="solid">
          <x:bgColor rgb="FFFFF7CC"/>
        </x:patternFill>
      </x:fill>
    </x:dxf>
    <x:dxf>
      <x:font>
        <x:b/>
        <x:color rgb="FFB91C1C"/>
      </x:font>
      <x:fill>
        <x:patternFill patternType="solid">
          <x:bgColor rgb="FFFFF7CC"/>
        </x:patternFill>
      </x:fill>
    </x:dxf>
    <x:dxf>
      <x:font>
        <x:b/>
        <x:color rgb="FFB91C1C"/>
      </x:font>
      <x:fill>
        <x:patternFill patternType="solid">
          <x:bgColor rgb="FFFFF7CC"/>
        </x:patternFill>
      </x:fill>
    </x:dxf>
    <x:dxf>
      <x:font>
        <x:b/>
        <x:color rgb="FFB91C1C"/>
      </x:font>
      <x:fill>
        <x:patternFill patternType="solid">
          <x:bgColor rgb="FFFFF7CC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E8F5E9"/>
        </x:patternFill>
      </x:fill>
    </x:dxf>
    <x:dxf>
      <x:font>
        <x:b/>
        <x:color rgb="FFB91C1C"/>
      </x:font>
      <x:fill>
        <x:patternFill patternType="solid">
          <x:bgColor rgb="FFFFF7CC"/>
        </x:patternFill>
      </x:fill>
    </x:dxf>
    <x:dxf>
      <x:font>
        <x:b/>
        <x:color rgb="FFB91C1C"/>
      </x:font>
      <x:fill>
        <x:patternFill patternType="solid">
          <x:bgColor rgb="FFFFF7CC"/>
        </x:patternFill>
      </x:fill>
    </x:dxf>
    <x:dxf>
      <x:font>
        <x:b/>
        <x:color rgb="FFB91C1C"/>
      </x:font>
      <x:fill>
        <x:patternFill patternType="solid">
          <x:bgColor rgb="FFFFF7CC"/>
        </x:patternFill>
      </x:fill>
    </x:dxf>
    <x:dxf>
      <x:font>
        <x:b/>
        <x:color rgb="FFB91C1C"/>
      </x:font>
      <x:fill>
        <x:patternFill patternType="solid">
          <x:bgColor rgb="FFFFF7CC"/>
        </x:patternFill>
      </x:fill>
    </x:dxf>
    <x:dxf>
      <x:font>
        <x:b/>
        <x:color rgb="FFB91C1C"/>
      </x:font>
      <x:fill>
        <x:patternFill patternType="solid">
          <x:bgColor rgb="FFFFF7CC"/>
        </x:patternFill>
      </x:fill>
    </x:dxf>
    <x:dxf>
      <x:font>
        <x:b/>
        <x:color rgb="FFB91C1C"/>
      </x:font>
      <x:fill>
        <x:patternFill patternType="solid">
          <x:bgColor rgb="FFFFF7CC"/>
        </x:patternFill>
      </x:fill>
    </x:dxf>
    <x:dxf>
      <x:font>
        <x:b/>
        <x:color rgb="FFB91C1C"/>
      </x:font>
      <x:fill>
        <x:patternFill patternType="solid">
          <x:bgColor rgb="FFFFF7CC"/>
        </x:patternFill>
      </x:fill>
    </x:dxf>
    <x:dxf>
      <x:font>
        <x:b/>
        <x:color rgb="FFB91C1C"/>
      </x:font>
      <x:fill>
        <x:patternFill patternType="solid">
          <x:bgColor rgb="FFFFF7CC"/>
        </x:patternFill>
      </x:fill>
    </x:dxf>
    <x:dxf>
      <x:font>
        <x:b/>
        <x:color rgb="FFB91C1C"/>
      </x:font>
      <x:fill>
        <x:patternFill patternType="solid">
          <x:bgColor rgb="FFFFF7CC"/>
        </x:patternFill>
      </x:fill>
    </x:dxf>
    <x:dxf>
      <x:font>
        <x:b/>
        <x:color rgb="FFB91C1C"/>
      </x:font>
      <x:fill>
        <x:patternFill patternType="solid">
          <x:bgColor rgb="FFFFF7CC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E8F5E9"/>
        </x:patternFill>
      </x:fill>
    </x:dxf>
    <x:dxf>
      <x:font>
        <x:b/>
        <x:color rgb="FFB91C1C"/>
      </x:font>
      <x:fill>
        <x:patternFill patternType="solid">
          <x:bgColor rgb="FFFFF7CC"/>
        </x:patternFill>
      </x:fill>
    </x:dxf>
    <x:dxf>
      <x:font>
        <x:b/>
        <x:color rgb="FFB91C1C"/>
      </x:font>
      <x:fill>
        <x:patternFill patternType="solid">
          <x:bgColor rgb="FFFFF7CC"/>
        </x:patternFill>
      </x:fill>
    </x:dxf>
    <x:dxf>
      <x:font>
        <x:b/>
        <x:color rgb="FFB91C1C"/>
      </x:font>
      <x:fill>
        <x:patternFill patternType="solid">
          <x:bgColor rgb="FFFFF7CC"/>
        </x:patternFill>
      </x:fill>
    </x:dxf>
    <x:dxf>
      <x:font>
        <x:b/>
        <x:color rgb="FFB91C1C"/>
      </x:font>
      <x:fill>
        <x:patternFill patternType="solid">
          <x:bgColor rgb="FFFFF7CC"/>
        </x:patternFill>
      </x:fill>
    </x:dxf>
    <x:dxf>
      <x:font>
        <x:b/>
        <x:color rgb="FFB91C1C"/>
      </x:font>
      <x:fill>
        <x:patternFill patternType="solid">
          <x:bgColor rgb="FFFFF7CC"/>
        </x:patternFill>
      </x:fill>
    </x:dxf>
    <x:dxf>
      <x:font>
        <x:b/>
        <x:color rgb="FFB91C1C"/>
      </x:font>
      <x:fill>
        <x:patternFill patternType="solid">
          <x:bgColor rgb="FFFFF7CC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E8F5E9"/>
        </x:patternFill>
      </x:fill>
    </x:dxf>
    <x:dxf>
      <x:font>
        <x:b/>
        <x:color rgb="FFB91C1C"/>
      </x:font>
      <x:fill>
        <x:patternFill patternType="solid">
          <x:bgColor rgb="FFFFF7CC"/>
        </x:patternFill>
      </x:fill>
    </x:dxf>
    <x:dxf>
      <x:font>
        <x:b/>
        <x:color rgb="FFB91C1C"/>
      </x:font>
      <x:fill>
        <x:patternFill patternType="solid">
          <x:bgColor rgb="FFFFF7CC"/>
        </x:patternFill>
      </x:fill>
    </x:dxf>
    <x:dxf>
      <x:font>
        <x:b/>
        <x:color rgb="FFB91C1C"/>
      </x:font>
      <x:fill>
        <x:patternFill patternType="solid">
          <x:bgColor rgb="FFFFF7CC"/>
        </x:patternFill>
      </x:fill>
    </x:dxf>
    <x:dxf>
      <x:font>
        <x:b/>
        <x:color rgb="FFB91C1C"/>
      </x:font>
      <x:fill>
        <x:patternFill patternType="solid">
          <x:bgColor rgb="FFFFF7CC"/>
        </x:patternFill>
      </x:fill>
    </x:dxf>
    <x:dxf>
      <x:font>
        <x:b/>
        <x:color rgb="FFB91C1C"/>
      </x:font>
      <x:fill>
        <x:patternFill patternType="solid">
          <x:bgColor rgb="FFFFF7CC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E8F5E9"/>
        </x:patternFill>
      </x:fill>
    </x:dxf>
    <x:dxf>
      <x:font>
        <x:b/>
        <x:color rgb="FFB91C1C"/>
      </x:font>
      <x:fill>
        <x:patternFill patternType="solid">
          <x:bgColor rgb="FFFFF7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e35b79034e4b24" /><Relationship Type="http://schemas.openxmlformats.org/officeDocument/2006/relationships/theme" Target="/xl/theme/theme1.xml" Id="R2d4af5c0abaf49bd" /><Relationship Type="http://schemas.openxmlformats.org/officeDocument/2006/relationships/sharedStrings" Target="/xl/sharedStrings.xml" Id="R28ff993f237b4c05" /><Relationship Type="http://schemas.openxmlformats.org/officeDocument/2006/relationships/worksheet" Target="/xl/worksheets/sheet1.xml" Id="R0216d7538c1d47eb" /><Relationship Type="http://schemas.openxmlformats.org/officeDocument/2006/relationships/worksheet" Target="/xl/worksheets/sheet2.xml" Id="R2817dd51fc9741ca" /><Relationship Type="http://schemas.openxmlformats.org/officeDocument/2006/relationships/worksheet" Target="/xl/worksheets/sheet3.xml" Id="R0dfc15ebaeda44f6" /><Relationship Type="http://schemas.openxmlformats.org/officeDocument/2006/relationships/worksheet" Target="/xl/worksheets/sheet4.xml" Id="R1229618d5c70456d" /><Relationship Type="http://schemas.openxmlformats.org/officeDocument/2006/relationships/worksheet" Target="/xl/worksheets/sheet5.xml" Id="R9fd5126db8d74a23" /><Relationship Type="http://schemas.openxmlformats.org/officeDocument/2006/relationships/worksheet" Target="/xl/worksheets/sheet6.xml" Id="R8d3bcfe6a7b443f3" /><Relationship Type="http://schemas.openxmlformats.org/officeDocument/2006/relationships/worksheet" Target="/xl/worksheets/sheet7.xml" Id="R0032215db263402c" /><Relationship Type="http://schemas.microsoft.com/office/2017/10/relationships/person" Target="/xl/persons/person.xml" Id="R885c26945e294eef" /></Relationships>
</file>

<file path=xl/persons/person.xml><?xml version="1.0" encoding="utf-8"?>
<xltc:personList xmlns:xltc="http://schemas.microsoft.com/office/spreadsheetml/2018/threadedcomments">
  <xltc:person displayName="Valentin" id="{6FD89D82-BCA6-49D8-8603-5B833C347DF2}"/>
</xltc:personList>
</file>

<file path=xl/tables/table1.xml><?xml version="1.0" encoding="utf-8"?>
<x:table xmlns:x="http://schemas.openxmlformats.org/spreadsheetml/2006/main" id="1" name="MovimientosTable" displayName="MovimientosTable" ref="A5:M30" headerRowCount="1" totalsRowCount="0" totalsRowShown="0">
  <x:autoFilter ref="A5:M30"/>
  <x:tableColumns count="13">
    <x:tableColumn id="1" name="Fecha*"/>
    <x:tableColumn id="2" name="Tipo*"/>
    <x:tableColumn id="3" name="Cuenta / broker*"/>
    <x:tableColumn id="4" name="Ticker"/>
    <x:tableColumn id="5" name="Cantidad"/>
    <x:tableColumn id="6" name="Precio unitario"/>
    <x:tableColumn id="7" name="Monto efectivo"/>
    <x:tableColumn id="8" name="Moneda*"/>
    <x:tableColumn id="9" name="Comisión"/>
    <x:tableColumn id="10" name="Notas"/>
    <x:tableColumn id="11" name="Importe calculado"/>
    <x:tableColumn id="12" name="Estado"/>
    <x:tableColumn id="13" name="Datos faltan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lanInversionTable" displayName="PlanInversionTable" ref="A5:N25" headerRowCount="1" totalsRowCount="0" totalsRowShown="0">
  <x:autoFilter ref="A5:N25"/>
  <x:tableColumns count="14">
    <x:tableColumn id="1" name="Ticker*"/>
    <x:tableColumn id="2" name="Tesis breve*"/>
    <x:tableColumn id="3" name="Entrada desde*"/>
    <x:tableColumn id="4" name="Entrada hasta*"/>
    <x:tableColumn id="5" name="Objetivo*"/>
    <x:tableColumn id="6" name="Invalida la tesis*"/>
    <x:tableColumn id="7" name="Peso máximo*"/>
    <x:tableColumn id="8" name="Horizonte*"/>
    <x:tableColumn id="9" name="Estado*"/>
    <x:tableColumn id="10" name="Precio actual (agente)"/>
    <x:tableColumn id="11" name="Acción sugerida (agente)"/>
    <x:tableColumn id="12" name="Próxima revisión*"/>
    <x:tableColumn id="13" name="Estado fila"/>
    <x:tableColumn id="14" name="Datos faltan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ObjetivosTable" displayName="ObjetivosTable" ref="A5:J20" headerRowCount="1" totalsRowCount="0" totalsRowShown="0">
  <x:autoFilter ref="A5:J20"/>
  <x:tableColumns count="10">
    <x:tableColumn id="1" name="Objetivo*"/>
    <x:tableColumn id="2" name="Tipo*"/>
    <x:tableColumn id="3" name="Fecha límite*"/>
    <x:tableColumn id="4" name="Monto objetivo*"/>
    <x:tableColumn id="5" name="Monto actual*"/>
    <x:tableColumn id="6" name="Aporte mensual"/>
    <x:tableColumn id="7" name="Prioridad*"/>
    <x:tableColumn id="8" name="Progreso"/>
    <x:tableColumn id="9" name="Estado"/>
    <x:tableColumn id="10" name="Datos faltan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WatchlistTable" displayName="WatchlistTable" ref="A5:N25" headerRowCount="1" totalsRowCount="0" totalsRowShown="0">
  <x:autoFilter ref="A5:N25"/>
  <x:tableColumns count="14">
    <x:tableColumn id="1" name="Ticker*"/>
    <x:tableColumn id="2" name="Motivo*"/>
    <x:tableColumn id="3" name="Sector (agente)"/>
    <x:tableColumn id="4" name="Entrada desde*"/>
    <x:tableColumn id="5" name="Entrada hasta*"/>
    <x:tableColumn id="6" name="Precio actual (agente)"/>
    <x:tableColumn id="7" name="P/E (agente)"/>
    <x:tableColumn id="8" name="FCF yield (agente)"/>
    <x:tableColumn id="9" name="Consenso (agente)"/>
    <x:tableColumn id="10" name="Calidad 0-100 (agente)"/>
    <x:tableColumn id="11" name="Valor 0-100 (agente)"/>
    <x:tableColumn id="12" name="Próxima revisión*"/>
    <x:tableColumn id="13" name="Estado"/>
    <x:tableColumn id="14" name="Datos faltan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comendacionesTable" displayName="RecomendacionesTable" ref="A5:M20" headerRowCount="1" totalsRowCount="0" totalsRowShown="0">
  <x:autoFilter ref="A5:M20"/>
  <x:tableColumns count="13">
    <x:tableColumn id="1" name="Fecha"/>
    <x:tableColumn id="2" name="Ticker"/>
    <x:tableColumn id="3" name="Recomendación"/>
    <x:tableColumn id="4" name="Precio analizado"/>
    <x:tableColumn id="5" name="Entrada desde"/>
    <x:tableColumn id="6" name="Entrada hasta"/>
    <x:tableColumn id="7" name="Objetivo"/>
    <x:tableColumn id="8" name="Confianza"/>
    <x:tableColumn id="9" name="Razones"/>
    <x:tableColumn id="10" name="Riesgos"/>
    <x:tableColumn id="11" name="Fuentes"/>
    <x:tableColumn id="12" name="Decisión del usuario"/>
    <x:tableColumn id="13" name="Resultado / seguimiento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onfiguracionTable" displayName="ConfiguracionTable" ref="A5:E17" headerRowCount="1" totalsRowCount="0" totalsRowShown="0">
  <x:autoFilter ref="A5:E17"/>
  <x:tableColumns count="5">
    <x:tableColumn id="1" name="Campo"/>
    <x:tableColumn id="2" name="Valor"/>
    <x:tableColumn id="3" name="Obligatorio"/>
    <x:tableColumn id="4" name="Para qué se usa"/>
    <x:tableColumn id="5" name="Esta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M5" dT="2026-08-13T21:47:53.589" personId="{6FD89D82-BCA6-49D8-8603-5B833C347DF2}" id="{5DC7AF11-C6AB-EFE3-C2CD-9DC9440FB7FB}">
    <xltc:text>Se completa mediante fórmula. El agente debe leer este campo antes de analizar la cartera.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J5" dT="2026-08-13T21:47:53.589" personId="{6FD89D82-BCA6-49D8-8603-5B833C347DF2}" id="{43C3DF49-74BF-B52B-EE0A-4C824307CDAF}">
    <xltc:text>Dato actualizado por el agente con fecha y fuente; no hace falta completarlo manualmente.</xltc:text>
  </xltc:threadedComment>
  <xltc:threadedComment ref="F5" dT="2026-08-13T21:47:53.589" personId="{6FD89D82-BCA6-49D8-8603-5B833C347DF2}" id="{18C5E4B7-8C37-BA73-3CDA-2B6857E3CC89}">
    <xltc:text>Condición concreta que indicaría que la tesis dejó de ser válida. No debería ser solo una caída del precio.</xltc:text>
  </xltc:threadedComment>
</xltc:ThreadedComments>
</file>

<file path=xl/threadedcomments/threadedcomment3.xml><?xml version="1.0" encoding="utf-8"?>
<xltc:ThreadedComments xmlns:xltc="http://schemas.microsoft.com/office/spreadsheetml/2018/threadedcomments">
  <xltc:threadedComment ref="K5" dT="2026-08-13T21:47:53.589" personId="{6FD89D82-BCA6-49D8-8603-5B833C347DF2}" id="{12D72DFF-5655-CF09-AFC1-3F9BB7B42810}">
    <xltc:text>Guardar enlaces y fecha de consulta. No almacenar artículos completos.</xltc:text>
  </xltc:threadedComment>
</xltc:ThreadedComments>
</file>

<file path=xl/threadedcomments/threadedcomment4.xml><?xml version="1.0" encoding="utf-8"?>
<xltc:ThreadedComments xmlns:xltc="http://schemas.microsoft.com/office/spreadsheetml/2018/threadedcomments">
  <xltc:threadedComment ref="B14" dT="2026-08-13T21:47:53.59" personId="{6FD89D82-BCA6-49D8-8603-5B833C347DF2}" id="{9AE7A362-BA90-A05F-8EB4-A957A37F28FA}">
    <xltc:text>El ejemplo está vacío para mostrar cómo aparece una advertencia de información faltante.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6fe120bf058d4127" /><Relationship Type="http://schemas.openxmlformats.org/officeDocument/2006/relationships/vmlDrawing" Target="/xl/drawings/vmldrawing.vml" Id="R92fcd1f841294a9f" /><Relationship Type="http://schemas.microsoft.com/office/2017/10/relationships/threadedComment" Target="/xl/threadedcomments/threadedcomment.xml" Id="R8ef28ec43c5f451a" /><Relationship Type="http://schemas.openxmlformats.org/officeDocument/2006/relationships/table" Target="/xl/tables/table1.xml" Id="Ra0d26da111a1487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2.xml" Id="R2e9b320ca8234fb6" /><Relationship Type="http://schemas.openxmlformats.org/officeDocument/2006/relationships/vmlDrawing" Target="/xl/drawings/vmldrawing2.vml" Id="R8aa94e7ce42c409b" /><Relationship Type="http://schemas.microsoft.com/office/2017/10/relationships/threadedComment" Target="/xl/threadedcomments/threadedcomment2.xml" Id="Rd85cd6fa2776415a" /><Relationship Type="http://schemas.openxmlformats.org/officeDocument/2006/relationships/table" Target="/xl/tables/table2.xml" Id="R9f4b82ca55f5439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ee5d79142df4e7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0aedffc130b4df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comments" Target="/xl/comments3.xml" Id="Rb336bf40ee0c47e9" /><Relationship Type="http://schemas.openxmlformats.org/officeDocument/2006/relationships/vmlDrawing" Target="/xl/drawings/vmldrawing3.vml" Id="Rd964774283784d68" /><Relationship Type="http://schemas.microsoft.com/office/2017/10/relationships/threadedComment" Target="/xl/threadedcomments/threadedcomment3.xml" Id="R14fdcce47bf344aa" /><Relationship Type="http://schemas.openxmlformats.org/officeDocument/2006/relationships/table" Target="/xl/tables/table5.xml" Id="Rad85f35c4fa64c4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comments" Target="/xl/comments4.xml" Id="R0eaae09350b1474e" /><Relationship Type="http://schemas.openxmlformats.org/officeDocument/2006/relationships/vmlDrawing" Target="/xl/drawings/vmldrawing4.vml" Id="Ra3e31fada3b94ae5" /><Relationship Type="http://schemas.microsoft.com/office/2017/10/relationships/threadedComment" Target="/xl/threadedcomments/threadedcomment4.xml" Id="R63d507fc89f749a9" /><Relationship Type="http://schemas.openxmlformats.org/officeDocument/2006/relationships/table" Target="/xl/tables/table6.xml" Id="Rc7474c5c55e04ad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3" t="str">
        <x:v>Asistente personal de inversiones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Plantilla demostrativa. Vos registrás movimientos, reglas y objetivos; el agente completa datos de mercado, detecta faltantes y deja sus recomendaciones con fecha y fuentes.</x:v>
      </x:c>
      <x:c r="B2" s="7"/>
      <x:c r="C2" s="7"/>
      <x:c r="D2" s="7"/>
      <x:c r="E2" s="7"/>
      <x:c r="F2" s="7"/>
      <x:c r="G2" s="7"/>
      <x:c r="H2" s="7"/>
    </x:row>
    <x:row r="3" ht="12" customHeight="1">
      <x:c r="A3" s="7"/>
      <x:c r="B3" s="7"/>
      <x:c r="C3" s="7"/>
      <x:c r="D3" s="7"/>
      <x:c r="E3" s="7"/>
      <x:c r="F3" s="7"/>
      <x:c r="G3" s="7"/>
      <x:c r="H3" s="7"/>
    </x:row>
    <x:row r="5">
      <x:c r="A5" s="9" t="str">
        <x:v>Estado de la información</x:v>
      </x:c>
      <x:c r="B5" s="9"/>
      <x:c r="C5" s="9"/>
      <x:c r="D5" s="9"/>
      <x:c r="E5" s="9"/>
      <x:c r="F5" s="9"/>
      <x:c r="G5" s="9"/>
      <x:c r="H5" s="9"/>
    </x:row>
    <x:row r="7">
      <x:c r="A7" s="31" t="str">
        <x:v>Movimientos pendientes</x:v>
      </x:c>
      <x:c r="B7" s="32"/>
      <x:c r="C7" s="31" t="str">
        <x:v>Planes pendientes</x:v>
      </x:c>
      <x:c r="D7" s="32"/>
      <x:c r="E7" s="31" t="str">
        <x:v>Objetivos pendientes</x:v>
      </x:c>
      <x:c r="F7" s="32"/>
      <x:c r="G7" s="31" t="str">
        <x:v>Watchlist pendiente</x:v>
      </x:c>
      <x:c r="H7" s="32"/>
    </x:row>
    <x:row r="8">
      <x:c r="A8" s="33" t="n">
        <x:f>COUNTIF('Movimientos'!$L$6:$L$30,"Falta información")</x:f>
        <x:v>1</x:v>
      </x:c>
      <x:c r="B8" s="26"/>
      <x:c r="C8" s="33" t="n">
        <x:f>COUNTIF('Plan de inversión'!$M$6:$M$25,"Falta información")</x:f>
        <x:v>1</x:v>
      </x:c>
      <x:c r="D8" s="26"/>
      <x:c r="E8" s="33" t="n">
        <x:f>COUNTIF('Objetivos'!$I$6:$I$20,"Falta información")</x:f>
        <x:v>1</x:v>
      </x:c>
      <x:c r="F8" s="26"/>
      <x:c r="G8" s="33" t="n">
        <x:f>COUNTIF('Watchlist'!$M$6:$M$25,"Falta información")</x:f>
        <x:v>1</x:v>
      </x:c>
      <x:c r="H8" s="26"/>
    </x:row>
    <x:row r="9">
      <x:c r="A9" s="27"/>
      <x:c r="B9" s="28"/>
      <x:c r="C9" s="27"/>
      <x:c r="D9" s="28"/>
      <x:c r="E9" s="27"/>
      <x:c r="F9" s="28"/>
      <x:c r="G9" s="27"/>
      <x:c r="H9" s="28"/>
    </x:row>
    <x:row r="11">
      <x:c r="A11" s="31" t="str">
        <x:v>Perfil pendiente</x:v>
      </x:c>
      <x:c r="B11" s="32"/>
      <x:c r="C11" s="31" t="str">
        <x:v>Estado general</x:v>
      </x:c>
      <x:c r="D11" s="43"/>
      <x:c r="E11" s="43"/>
      <x:c r="F11" s="32"/>
    </x:row>
    <x:row r="12">
      <x:c r="A12" s="33" t="n">
        <x:f>COUNTIF('Configuración'!$E$6:$E$17,"Falta información")</x:f>
        <x:v>1</x:v>
      </x:c>
      <x:c r="B12" s="26"/>
      <x:c r="C12" s="44" t="str">
        <x:f>IF(SUM(A8,C8,E8,G8,A12)=0,"LISTO PARA ANALIZAR","REVISAR DATOS FALTANTES")</x:f>
        <x:v>REVISAR DATOS FALTANTES</x:v>
      </x:c>
      <x:c r="D12" s="40"/>
      <x:c r="E12" s="40"/>
      <x:c r="F12" s="26"/>
    </x:row>
    <x:row r="13">
      <x:c r="A13" s="27"/>
      <x:c r="B13" s="28"/>
      <x:c r="C13" s="27"/>
      <x:c r="D13" s="41"/>
      <x:c r="E13" s="41"/>
      <x:c r="F13" s="28"/>
    </x:row>
    <x:row r="16">
      <x:c r="A16" s="9" t="str">
        <x:v>Cómo usarla</x:v>
      </x:c>
      <x:c r="B16" s="9"/>
      <x:c r="C16" s="9"/>
      <x:c r="D16" s="9"/>
      <x:c r="E16" s="9"/>
      <x:c r="F16" s="9"/>
      <x:c r="G16" s="9"/>
      <x:c r="H16" s="9"/>
    </x:row>
    <x:row r="18">
      <x:c r="A18" s="53" t="str">
        <x:v>1</x:v>
      </x:c>
      <x:c r="B18" s="49" t="str">
        <x:v>Registrá cada operación una sola vez en Movimientos.</x:v>
      </x:c>
      <x:c r="C18" s="49"/>
      <x:c r="D18" s="49"/>
      <x:c r="E18" s="49"/>
      <x:c r="F18" s="49"/>
      <x:c r="G18" s="49"/>
      <x:c r="H18" s="50"/>
    </x:row>
    <x:row r="19">
      <x:c r="A19" s="53" t="str">
        <x:v>2</x:v>
      </x:c>
      <x:c r="B19" s="59" t="str">
        <x:v>Definí zonas, objetivos y límites en Plan de inversión, Objetivos y Watchlist.</x:v>
      </x:c>
      <x:c r="C19" s="59"/>
      <x:c r="D19" s="59"/>
      <x:c r="E19" s="59"/>
      <x:c r="F19" s="59"/>
      <x:c r="G19" s="59"/>
      <x:c r="H19" s="60"/>
    </x:row>
    <x:row r="20">
      <x:c r="A20" s="53" t="str">
        <x:v>3</x:v>
      </x:c>
      <x:c r="B20" s="49" t="str">
        <x:v>El agente revisará las filas incompletas antes de analizar o recomendar.</x:v>
      </x:c>
      <x:c r="C20" s="49"/>
      <x:c r="D20" s="49"/>
      <x:c r="E20" s="49"/>
      <x:c r="F20" s="49"/>
      <x:c r="G20" s="49"/>
      <x:c r="H20" s="50"/>
    </x:row>
    <x:row r="23">
      <x:c r="A23" s="9" t="str">
        <x:v>Código visual</x:v>
      </x:c>
      <x:c r="B23" s="9"/>
      <x:c r="C23" s="9"/>
      <x:c r="D23" s="9"/>
      <x:c r="E23" s="9"/>
      <x:c r="F23" s="9"/>
      <x:c r="G23" s="9"/>
      <x:c r="H23" s="9"/>
    </x:row>
    <x:row r="25">
      <x:c r="A25" s="64" t="str">
        <x:v>Azul</x:v>
      </x:c>
      <x:c r="B25" s="63" t="str">
        <x:v>Dato editable por vos</x:v>
      </x:c>
      <x:c r="C25" s="63"/>
      <x:c r="D25" s="65" t="str">
        <x:v>Verde</x:v>
      </x:c>
      <x:c r="E25" s="63" t="str">
        <x:v>Dato que completa el agente</x:v>
      </x:c>
      <x:c r="F25" s="63"/>
      <x:c r="G25" s="67" t="str">
        <x:v>Gris</x:v>
      </x:c>
      <x:c r="H25" s="63" t="str">
        <x:v>Fórmula automática</x:v>
      </x:c>
    </x:row>
    <x:row r="26">
      <x:c r="A26" s="69" t="str">
        <x:v>Amarillo</x:v>
      </x:c>
      <x:c r="B26" s="63" t="str">
        <x:v>Celda obligatoria pendiente</x:v>
      </x:c>
      <x:c r="C26" s="63"/>
      <x:c r="D26" s="71" t="str">
        <x:v>Rojo</x:v>
      </x:c>
      <x:c r="E26" s="63" t="str">
        <x:v>Fila incompleta</x:v>
      </x:c>
      <x:c r="F26" s="63"/>
      <x:c r="G26" s="73" t="str">
        <x:v>Verde</x:v>
      </x:c>
      <x:c r="H26" s="63" t="str">
        <x:v>Fila completa</x:v>
      </x:c>
    </x:row>
    <x:row r="27">
      <x:c r="A27" s="63" t="str">
        <x:v>*</x:v>
      </x:c>
      <x:c r="B27" s="63" t="str">
        <x:v>Campo obligatorio</x:v>
      </x:c>
      <x:c r="C27" s="63"/>
      <x:c r="D27" s="63" t="str">
        <x:v>Fuentes</x:v>
      </x:c>
      <x:c r="E27" s="63" t="str">
        <x:v>Siempre se guarda enlace y fecha</x:v>
      </x:c>
      <x:c r="F27" s="63"/>
      <x:c r="G27" s="63" t="str">
        <x:v>Órdenes</x:v>
      </x:c>
      <x:c r="H27" s="63" t="str">
        <x:v>Esta plantilla no ejecuta operaciones</x:v>
      </x:c>
    </x:row>
    <x:row r="30">
      <x:c r="A30" s="9" t="str">
        <x:v>Ejemplo de aviso del agente</x:v>
      </x:c>
      <x:c r="B30" s="9"/>
      <x:c r="C30" s="9"/>
      <x:c r="D30" s="9"/>
      <x:c r="E30" s="9"/>
      <x:c r="F30" s="9"/>
      <x:c r="G30" s="9"/>
      <x:c r="H30" s="9"/>
    </x:row>
    <x:row r="32">
      <x:c r="A32" s="93" t="str">
        <x:v>Antes de analizar: “La venta de MSFT del 10/08/2026 no tiene precio unitario. También falta definir qué invalida la tesis de MELI y tu pérdida máxima tolerable. Completá esos datos o indicame que los deje pendientes.”</x:v>
      </x:c>
      <x:c r="B32" s="94"/>
      <x:c r="C32" s="94"/>
      <x:c r="D32" s="94"/>
      <x:c r="E32" s="94"/>
      <x:c r="F32" s="94"/>
      <x:c r="G32" s="94"/>
      <x:c r="H32" s="95"/>
    </x:row>
    <x:row r="33">
      <x:c r="A33" s="96"/>
      <x:c r="B33" s="97"/>
      <x:c r="C33" s="97"/>
      <x:c r="D33" s="97"/>
      <x:c r="E33" s="97"/>
      <x:c r="F33" s="97"/>
      <x:c r="G33" s="97"/>
      <x:c r="H33" s="98"/>
    </x:row>
    <x:row r="34">
      <x:c r="A34" s="99"/>
      <x:c r="B34" s="100"/>
      <x:c r="C34" s="100"/>
      <x:c r="D34" s="100"/>
      <x:c r="E34" s="100"/>
      <x:c r="F34" s="100"/>
      <x:c r="G34" s="100"/>
      <x:c r="H34" s="101"/>
    </x:row>
  </x:sheetData>
  <x:mergeCells>
    <x:mergeCell ref="A1:H1"/>
    <x:mergeCell ref="A2:H3"/>
    <x:mergeCell ref="A5:H5"/>
    <x:mergeCell ref="A7:B7"/>
    <x:mergeCell ref="A8:B9"/>
    <x:mergeCell ref="C7:D7"/>
    <x:mergeCell ref="C8:D9"/>
    <x:mergeCell ref="E7:F7"/>
    <x:mergeCell ref="E8:F9"/>
    <x:mergeCell ref="G7:H7"/>
    <x:mergeCell ref="G8:H9"/>
    <x:mergeCell ref="A11:B11"/>
    <x:mergeCell ref="A12:B13"/>
    <x:mergeCell ref="C11:F11"/>
    <x:mergeCell ref="C12:F13"/>
    <x:mergeCell ref="A16:H16"/>
    <x:mergeCell ref="B18:H18"/>
    <x:mergeCell ref="B19:H19"/>
    <x:mergeCell ref="B20:H20"/>
    <x:mergeCell ref="A23:H23"/>
    <x:mergeCell ref="A30:H30"/>
    <x:mergeCell ref="A32:H34"/>
  </x:mergeCells>
  <x:conditionalFormatting sqref="C12:C12">
    <x:cfRule type="containsText" dxfId="0" priority="1" operator="containsText" text="REVISAR"/>
    <x:cfRule type="containsText" dxfId="1" priority="2" operator="containsText" text="LISTO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20" hidden="0" customWidth="1"/>
    <x:col min="4" max="4" width="11" hidden="0" customWidth="1"/>
    <x:col min="5" max="5" width="12" hidden="0" customWidth="1"/>
    <x:col min="6" max="6" width="15" hidden="0" customWidth="1"/>
    <x:col min="7" max="7" width="15" hidden="0" customWidth="1"/>
    <x:col min="8" max="8" width="11" hidden="0" customWidth="1"/>
    <x:col min="9" max="9" width="12" hidden="0" customWidth="1"/>
    <x:col min="10" max="10" width="28" hidden="0" customWidth="1"/>
    <x:col min="11" max="11" width="17" hidden="0" customWidth="1"/>
    <x:col min="12" max="12" width="18" hidden="0" customWidth="1"/>
    <x:col min="13" max="13" width="34" hidden="0" customWidth="1"/>
  </x:cols>
  <x:sheetData>
    <x:row r="1" ht="34" customHeight="1">
      <x:c r="A1" s="3" t="str">
        <x:v>Movimientos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8" customHeight="1">
      <x:c r="A2" s="7" t="str">
        <x:v>Una fila por operación. Los campos con * son siempre obligatorios; Ticker, Cantidad y Precio dependen del tipo de movimiento. El ejemplo de MSFT está incompleto a propósito.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3" ht="12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</x:row>
    <x:row r="5" ht="34" customHeight="1">
      <x:c r="A5" s="110" t="str">
        <x:v>Fecha*</x:v>
      </x:c>
      <x:c r="B5" s="111" t="str">
        <x:v>Tipo*</x:v>
      </x:c>
      <x:c r="C5" s="111" t="str">
        <x:v>Cuenta / broker*</x:v>
      </x:c>
      <x:c r="D5" s="111" t="str">
        <x:v>Ticker</x:v>
      </x:c>
      <x:c r="E5" s="111" t="str">
        <x:v>Cantidad</x:v>
      </x:c>
      <x:c r="F5" s="111" t="str">
        <x:v>Precio unitario</x:v>
      </x:c>
      <x:c r="G5" s="111" t="str">
        <x:v>Monto efectivo</x:v>
      </x:c>
      <x:c r="H5" s="111" t="str">
        <x:v>Moneda*</x:v>
      </x:c>
      <x:c r="I5" s="111" t="str">
        <x:v>Comisión</x:v>
      </x:c>
      <x:c r="J5" s="111" t="str">
        <x:v>Notas</x:v>
      </x:c>
      <x:c r="K5" s="111" t="str">
        <x:v>Importe calculado</x:v>
      </x:c>
      <x:c r="L5" s="111" t="str">
        <x:v>Estado</x:v>
      </x:c>
      <x:c r="M5" s="112" t="str">
        <x:v>Datos faltantes</x:v>
      </x:c>
    </x:row>
    <x:row r="6">
      <x:c r="A6" s="122" t="n">
        <x:v>46235.5</x:v>
      </x:c>
      <x:c r="B6" s="118" t="str">
        <x:v>Compra</x:v>
      </x:c>
      <x:c r="C6" s="118" t="str">
        <x:v>Broker principal</x:v>
      </x:c>
      <x:c r="D6" s="118" t="str">
        <x:v>AAPL</x:v>
      </x:c>
      <x:c r="E6" s="124" t="n">
        <x:v>5</x:v>
      </x:c>
      <x:c r="F6" s="124" t="n">
        <x:v>180</x:v>
      </x:c>
      <x:c r="G6" s="124"/>
      <x:c r="H6" s="118" t="str">
        <x:v>USD</x:v>
      </x:c>
      <x:c r="I6" s="126" t="n">
        <x:v>1</x:v>
      </x:c>
      <x:c r="J6" s="130" t="str">
        <x:v>Compra inicial</x:v>
      </x:c>
      <x:c r="K6" s="127" t="n">
        <x:f>IF(COUNTA(A6:J6)=0,"",IF(OR(B6="Compra",B6="Venta"),IF(OR(E6="",F6=""),"",E6*F6+IF(I6="",0,I6)),IF(OR(B6="Dividendo",B6="Depósito",B6="Retiro",B6="Comisión"),G6,"")))</x:f>
        <x:v>901</x:v>
      </x:c>
      <x:c r="L6" s="120" t="str">
        <x:f>IF(COUNTA(A6:J6)=0,"",IF(M6="","Completo","Falta información"))</x:f>
        <x:v>Completo</x:v>
      </x:c>
      <x:c r="M6" s="132" t="str">
        <x:f>IF(COUNTA(A6:J6)=0,"",IF(A6="","Fecha; ","")&amp;IF(B6="","Tipo; ","")&amp;IF(C6="","Cuenta; ","")&amp;IF(H6="","Moneda; ","")&amp;IF(OR(B6="Compra",B6="Venta"),IF(D6="","Ticker; ","")&amp;IF(E6="","Cantidad; ","")&amp;IF(F6="","Precio unitario; ",""),"")&amp;IF(B6="Dividendo",IF(D6="","Ticker; ","")&amp;IF(G6="","Monto; ",""),"")&amp;IF(OR(B6="Depósito",B6="Retiro",B6="Comisión"),IF(G6="","Monto; ",""),""))</x:f>
      </x:c>
    </x:row>
    <x:row r="7">
      <x:c r="A7" s="123" t="n">
        <x:v>46244.5</x:v>
      </x:c>
      <x:c r="B7" s="119" t="str">
        <x:v>Venta</x:v>
      </x:c>
      <x:c r="C7" s="119" t="str">
        <x:v>Broker principal</x:v>
      </x:c>
      <x:c r="D7" s="119" t="str">
        <x:v>MSFT</x:v>
      </x:c>
      <x:c r="E7" s="125" t="n">
        <x:v>2</x:v>
      </x:c>
      <x:c r="F7" s="125"/>
      <x:c r="G7" s="125"/>
      <x:c r="H7" s="119" t="str">
        <x:v>USD</x:v>
      </x:c>
      <x:c r="I7" s="128" t="n">
        <x:v>1</x:v>
      </x:c>
      <x:c r="J7" s="131" t="str">
        <x:v>Ejemplo con precio faltante</x:v>
      </x:c>
      <x:c r="K7" s="129" t="str">
        <x:f>IF(COUNTA(A7:J7)=0,"",IF(OR(B7="Compra",B7="Venta"),IF(OR(E7="",F7=""),"",E7*F7+IF(I7="",0,I7)),IF(OR(B7="Dividendo",B7="Depósito",B7="Retiro",B7="Comisión"),G7,"")))</x:f>
      </x:c>
      <x:c r="L7" s="121" t="str">
        <x:f>IF(COUNTA(A7:J7)=0,"",IF(M7="","Completo","Falta información"))</x:f>
        <x:v>Falta información</x:v>
      </x:c>
      <x:c r="M7" s="133" t="str">
        <x:f>IF(COUNTA(A7:J7)=0,"",IF(A7="","Fecha; ","")&amp;IF(B7="","Tipo; ","")&amp;IF(C7="","Cuenta; ","")&amp;IF(H7="","Moneda; ","")&amp;IF(OR(B7="Compra",B7="Venta"),IF(D7="","Ticker; ","")&amp;IF(E7="","Cantidad; ","")&amp;IF(F7="","Precio unitario; ",""),"")&amp;IF(B7="Dividendo",IF(D7="","Ticker; ","")&amp;IF(G7="","Monto; ",""),"")&amp;IF(OR(B7="Depósito",B7="Retiro",B7="Comisión"),IF(G7="","Monto; ",""),""))</x:f>
        <x:v>Precio unitario; </x:v>
      </x:c>
    </x:row>
    <x:row r="8">
      <x:c r="A8" s="123" t="n">
        <x:v>46246.5</x:v>
      </x:c>
      <x:c r="B8" s="119" t="str">
        <x:v>Depósito</x:v>
      </x:c>
      <x:c r="C8" s="119" t="str">
        <x:v>Broker principal</x:v>
      </x:c>
      <x:c r="D8" s="119"/>
      <x:c r="E8" s="125"/>
      <x:c r="F8" s="125"/>
      <x:c r="G8" s="125" t="n">
        <x:v>500</x:v>
      </x:c>
      <x:c r="H8" s="119" t="str">
        <x:v>USD</x:v>
      </x:c>
      <x:c r="I8" s="128"/>
      <x:c r="J8" s="131" t="str">
        <x:v>Aporte mensual</x:v>
      </x:c>
      <x:c r="K8" s="129" t="n">
        <x:f>IF(COUNTA(A8:J8)=0,"",IF(OR(B8="Compra",B8="Venta"),IF(OR(E8="",F8=""),"",E8*F8+IF(I8="",0,I8)),IF(OR(B8="Dividendo",B8="Depósito",B8="Retiro",B8="Comisión"),G8,"")))</x:f>
        <x:v>500</x:v>
      </x:c>
      <x:c r="L8" s="121" t="str">
        <x:f>IF(COUNTA(A8:J8)=0,"",IF(M8="","Completo","Falta información"))</x:f>
        <x:v>Completo</x:v>
      </x:c>
      <x:c r="M8" s="133" t="str">
        <x:f>IF(COUNTA(A8:J8)=0,"",IF(A8="","Fecha; ","")&amp;IF(B8="","Tipo; ","")&amp;IF(C8="","Cuenta; ","")&amp;IF(H8="","Moneda; ","")&amp;IF(OR(B8="Compra",B8="Venta"),IF(D8="","Ticker; ","")&amp;IF(E8="","Cantidad; ","")&amp;IF(F8="","Precio unitario; ",""),"")&amp;IF(B8="Dividendo",IF(D8="","Ticker; ","")&amp;IF(G8="","Monto; ",""),"")&amp;IF(OR(B8="Depósito",B8="Retiro",B8="Comisión"),IF(G8="","Monto; ",""),""))</x:f>
      </x:c>
    </x:row>
    <x:row r="9">
      <x:c r="A9" s="123"/>
      <x:c r="B9" s="119"/>
      <x:c r="C9" s="119"/>
      <x:c r="D9" s="119"/>
      <x:c r="E9" s="125"/>
      <x:c r="F9" s="125"/>
      <x:c r="G9" s="125"/>
      <x:c r="H9" s="119"/>
      <x:c r="I9" s="128"/>
      <x:c r="J9" s="131"/>
      <x:c r="K9" s="129" t="str">
        <x:f>IF(COUNTA(A9:J9)=0,"",IF(OR(B9="Compra",B9="Venta"),IF(OR(E9="",F9=""),"",E9*F9+IF(I9="",0,I9)),IF(OR(B9="Dividendo",B9="Depósito",B9="Retiro",B9="Comisión"),G9,"")))</x:f>
      </x:c>
      <x:c r="L9" s="121" t="str">
        <x:f>IF(COUNTA(A9:J9)=0,"",IF(M9="","Completo","Falta información"))</x:f>
      </x:c>
      <x:c r="M9" s="133" t="str">
        <x:f>IF(COUNTA(A9:J9)=0,"",IF(A9="","Fecha; ","")&amp;IF(B9="","Tipo; ","")&amp;IF(C9="","Cuenta; ","")&amp;IF(H9="","Moneda; ","")&amp;IF(OR(B9="Compra",B9="Venta"),IF(D9="","Ticker; ","")&amp;IF(E9="","Cantidad; ","")&amp;IF(F9="","Precio unitario; ",""),"")&amp;IF(B9="Dividendo",IF(D9="","Ticker; ","")&amp;IF(G9="","Monto; ",""),"")&amp;IF(OR(B9="Depósito",B9="Retiro",B9="Comisión"),IF(G9="","Monto; ",""),""))</x:f>
      </x:c>
    </x:row>
    <x:row r="10">
      <x:c r="A10" s="123"/>
      <x:c r="B10" s="119"/>
      <x:c r="C10" s="119"/>
      <x:c r="D10" s="119"/>
      <x:c r="E10" s="125"/>
      <x:c r="F10" s="125"/>
      <x:c r="G10" s="125"/>
      <x:c r="H10" s="119"/>
      <x:c r="I10" s="128"/>
      <x:c r="J10" s="131"/>
      <x:c r="K10" s="129" t="str">
        <x:f>IF(COUNTA(A10:J10)=0,"",IF(OR(B10="Compra",B10="Venta"),IF(OR(E10="",F10=""),"",E10*F10+IF(I10="",0,I10)),IF(OR(B10="Dividendo",B10="Depósito",B10="Retiro",B10="Comisión"),G10,"")))</x:f>
      </x:c>
      <x:c r="L10" s="121" t="str">
        <x:f>IF(COUNTA(A10:J10)=0,"",IF(M10="","Completo","Falta información"))</x:f>
      </x:c>
      <x:c r="M10" s="133" t="str">
        <x:f>IF(COUNTA(A10:J10)=0,"",IF(A10="","Fecha; ","")&amp;IF(B10="","Tipo; ","")&amp;IF(C10="","Cuenta; ","")&amp;IF(H10="","Moneda; ","")&amp;IF(OR(B10="Compra",B10="Venta"),IF(D10="","Ticker; ","")&amp;IF(E10="","Cantidad; ","")&amp;IF(F10="","Precio unitario; ",""),"")&amp;IF(B10="Dividendo",IF(D10="","Ticker; ","")&amp;IF(G10="","Monto; ",""),"")&amp;IF(OR(B10="Depósito",B10="Retiro",B10="Comisión"),IF(G10="","Monto; ",""),""))</x:f>
      </x:c>
    </x:row>
    <x:row r="11">
      <x:c r="A11" s="123"/>
      <x:c r="B11" s="119"/>
      <x:c r="C11" s="119"/>
      <x:c r="D11" s="119"/>
      <x:c r="E11" s="125"/>
      <x:c r="F11" s="125"/>
      <x:c r="G11" s="125"/>
      <x:c r="H11" s="119"/>
      <x:c r="I11" s="128"/>
      <x:c r="J11" s="131"/>
      <x:c r="K11" s="129" t="str">
        <x:f>IF(COUNTA(A11:J11)=0,"",IF(OR(B11="Compra",B11="Venta"),IF(OR(E11="",F11=""),"",E11*F11+IF(I11="",0,I11)),IF(OR(B11="Dividendo",B11="Depósito",B11="Retiro",B11="Comisión"),G11,"")))</x:f>
      </x:c>
      <x:c r="L11" s="121" t="str">
        <x:f>IF(COUNTA(A11:J11)=0,"",IF(M11="","Completo","Falta información"))</x:f>
      </x:c>
      <x:c r="M11" s="133" t="str">
        <x:f>IF(COUNTA(A11:J11)=0,"",IF(A11="","Fecha; ","")&amp;IF(B11="","Tipo; ","")&amp;IF(C11="","Cuenta; ","")&amp;IF(H11="","Moneda; ","")&amp;IF(OR(B11="Compra",B11="Venta"),IF(D11="","Ticker; ","")&amp;IF(E11="","Cantidad; ","")&amp;IF(F11="","Precio unitario; ",""),"")&amp;IF(B11="Dividendo",IF(D11="","Ticker; ","")&amp;IF(G11="","Monto; ",""),"")&amp;IF(OR(B11="Depósito",B11="Retiro",B11="Comisión"),IF(G11="","Monto; ",""),""))</x:f>
      </x:c>
    </x:row>
    <x:row r="12">
      <x:c r="A12" s="123"/>
      <x:c r="B12" s="119"/>
      <x:c r="C12" s="119"/>
      <x:c r="D12" s="119"/>
      <x:c r="E12" s="125"/>
      <x:c r="F12" s="125"/>
      <x:c r="G12" s="125"/>
      <x:c r="H12" s="119"/>
      <x:c r="I12" s="128"/>
      <x:c r="J12" s="131"/>
      <x:c r="K12" s="129" t="str">
        <x:f>IF(COUNTA(A12:J12)=0,"",IF(OR(B12="Compra",B12="Venta"),IF(OR(E12="",F12=""),"",E12*F12+IF(I12="",0,I12)),IF(OR(B12="Dividendo",B12="Depósito",B12="Retiro",B12="Comisión"),G12,"")))</x:f>
      </x:c>
      <x:c r="L12" s="121" t="str">
        <x:f>IF(COUNTA(A12:J12)=0,"",IF(M12="","Completo","Falta información"))</x:f>
      </x:c>
      <x:c r="M12" s="133" t="str">
        <x:f>IF(COUNTA(A12:J12)=0,"",IF(A12="","Fecha; ","")&amp;IF(B12="","Tipo; ","")&amp;IF(C12="","Cuenta; ","")&amp;IF(H12="","Moneda; ","")&amp;IF(OR(B12="Compra",B12="Venta"),IF(D12="","Ticker; ","")&amp;IF(E12="","Cantidad; ","")&amp;IF(F12="","Precio unitario; ",""),"")&amp;IF(B12="Dividendo",IF(D12="","Ticker; ","")&amp;IF(G12="","Monto; ",""),"")&amp;IF(OR(B12="Depósito",B12="Retiro",B12="Comisión"),IF(G12="","Monto; ",""),""))</x:f>
      </x:c>
    </x:row>
    <x:row r="13">
      <x:c r="A13" s="123"/>
      <x:c r="B13" s="119"/>
      <x:c r="C13" s="119"/>
      <x:c r="D13" s="119"/>
      <x:c r="E13" s="125"/>
      <x:c r="F13" s="125"/>
      <x:c r="G13" s="125"/>
      <x:c r="H13" s="119"/>
      <x:c r="I13" s="128"/>
      <x:c r="J13" s="131"/>
      <x:c r="K13" s="129" t="str">
        <x:f>IF(COUNTA(A13:J13)=0,"",IF(OR(B13="Compra",B13="Venta"),IF(OR(E13="",F13=""),"",E13*F13+IF(I13="",0,I13)),IF(OR(B13="Dividendo",B13="Depósito",B13="Retiro",B13="Comisión"),G13,"")))</x:f>
      </x:c>
      <x:c r="L13" s="121" t="str">
        <x:f>IF(COUNTA(A13:J13)=0,"",IF(M13="","Completo","Falta información"))</x:f>
      </x:c>
      <x:c r="M13" s="133" t="str">
        <x:f>IF(COUNTA(A13:J13)=0,"",IF(A13="","Fecha; ","")&amp;IF(B13="","Tipo; ","")&amp;IF(C13="","Cuenta; ","")&amp;IF(H13="","Moneda; ","")&amp;IF(OR(B13="Compra",B13="Venta"),IF(D13="","Ticker; ","")&amp;IF(E13="","Cantidad; ","")&amp;IF(F13="","Precio unitario; ",""),"")&amp;IF(B13="Dividendo",IF(D13="","Ticker; ","")&amp;IF(G13="","Monto; ",""),"")&amp;IF(OR(B13="Depósito",B13="Retiro",B13="Comisión"),IF(G13="","Monto; ",""),""))</x:f>
      </x:c>
    </x:row>
    <x:row r="14">
      <x:c r="A14" s="123"/>
      <x:c r="B14" s="119"/>
      <x:c r="C14" s="119"/>
      <x:c r="D14" s="119"/>
      <x:c r="E14" s="125"/>
      <x:c r="F14" s="125"/>
      <x:c r="G14" s="125"/>
      <x:c r="H14" s="119"/>
      <x:c r="I14" s="128"/>
      <x:c r="J14" s="131"/>
      <x:c r="K14" s="129" t="str">
        <x:f>IF(COUNTA(A14:J14)=0,"",IF(OR(B14="Compra",B14="Venta"),IF(OR(E14="",F14=""),"",E14*F14+IF(I14="",0,I14)),IF(OR(B14="Dividendo",B14="Depósito",B14="Retiro",B14="Comisión"),G14,"")))</x:f>
      </x:c>
      <x:c r="L14" s="121" t="str">
        <x:f>IF(COUNTA(A14:J14)=0,"",IF(M14="","Completo","Falta información"))</x:f>
      </x:c>
      <x:c r="M14" s="133" t="str">
        <x:f>IF(COUNTA(A14:J14)=0,"",IF(A14="","Fecha; ","")&amp;IF(B14="","Tipo; ","")&amp;IF(C14="","Cuenta; ","")&amp;IF(H14="","Moneda; ","")&amp;IF(OR(B14="Compra",B14="Venta"),IF(D14="","Ticker; ","")&amp;IF(E14="","Cantidad; ","")&amp;IF(F14="","Precio unitario; ",""),"")&amp;IF(B14="Dividendo",IF(D14="","Ticker; ","")&amp;IF(G14="","Monto; ",""),"")&amp;IF(OR(B14="Depósito",B14="Retiro",B14="Comisión"),IF(G14="","Monto; ",""),""))</x:f>
      </x:c>
    </x:row>
    <x:row r="15">
      <x:c r="A15" s="123"/>
      <x:c r="B15" s="119"/>
      <x:c r="C15" s="119"/>
      <x:c r="D15" s="119"/>
      <x:c r="E15" s="125"/>
      <x:c r="F15" s="125"/>
      <x:c r="G15" s="125"/>
      <x:c r="H15" s="119"/>
      <x:c r="I15" s="128"/>
      <x:c r="J15" s="131"/>
      <x:c r="K15" s="129" t="str">
        <x:f>IF(COUNTA(A15:J15)=0,"",IF(OR(B15="Compra",B15="Venta"),IF(OR(E15="",F15=""),"",E15*F15+IF(I15="",0,I15)),IF(OR(B15="Dividendo",B15="Depósito",B15="Retiro",B15="Comisión"),G15,"")))</x:f>
      </x:c>
      <x:c r="L15" s="121" t="str">
        <x:f>IF(COUNTA(A15:J15)=0,"",IF(M15="","Completo","Falta información"))</x:f>
      </x:c>
      <x:c r="M15" s="133" t="str">
        <x:f>IF(COUNTA(A15:J15)=0,"",IF(A15="","Fecha; ","")&amp;IF(B15="","Tipo; ","")&amp;IF(C15="","Cuenta; ","")&amp;IF(H15="","Moneda; ","")&amp;IF(OR(B15="Compra",B15="Venta"),IF(D15="","Ticker; ","")&amp;IF(E15="","Cantidad; ","")&amp;IF(F15="","Precio unitario; ",""),"")&amp;IF(B15="Dividendo",IF(D15="","Ticker; ","")&amp;IF(G15="","Monto; ",""),"")&amp;IF(OR(B15="Depósito",B15="Retiro",B15="Comisión"),IF(G15="","Monto; ",""),""))</x:f>
      </x:c>
    </x:row>
    <x:row r="16">
      <x:c r="A16" s="123"/>
      <x:c r="B16" s="119"/>
      <x:c r="C16" s="119"/>
      <x:c r="D16" s="119"/>
      <x:c r="E16" s="125"/>
      <x:c r="F16" s="125"/>
      <x:c r="G16" s="125"/>
      <x:c r="H16" s="119"/>
      <x:c r="I16" s="128"/>
      <x:c r="J16" s="131"/>
      <x:c r="K16" s="129" t="str">
        <x:f>IF(COUNTA(A16:J16)=0,"",IF(OR(B16="Compra",B16="Venta"),IF(OR(E16="",F16=""),"",E16*F16+IF(I16="",0,I16)),IF(OR(B16="Dividendo",B16="Depósito",B16="Retiro",B16="Comisión"),G16,"")))</x:f>
      </x:c>
      <x:c r="L16" s="121" t="str">
        <x:f>IF(COUNTA(A16:J16)=0,"",IF(M16="","Completo","Falta información"))</x:f>
      </x:c>
      <x:c r="M16" s="133" t="str">
        <x:f>IF(COUNTA(A16:J16)=0,"",IF(A16="","Fecha; ","")&amp;IF(B16="","Tipo; ","")&amp;IF(C16="","Cuenta; ","")&amp;IF(H16="","Moneda; ","")&amp;IF(OR(B16="Compra",B16="Venta"),IF(D16="","Ticker; ","")&amp;IF(E16="","Cantidad; ","")&amp;IF(F16="","Precio unitario; ",""),"")&amp;IF(B16="Dividendo",IF(D16="","Ticker; ","")&amp;IF(G16="","Monto; ",""),"")&amp;IF(OR(B16="Depósito",B16="Retiro",B16="Comisión"),IF(G16="","Monto; ",""),""))</x:f>
      </x:c>
    </x:row>
    <x:row r="17">
      <x:c r="A17" s="123"/>
      <x:c r="B17" s="119"/>
      <x:c r="C17" s="119"/>
      <x:c r="D17" s="119"/>
      <x:c r="E17" s="125"/>
      <x:c r="F17" s="125"/>
      <x:c r="G17" s="125"/>
      <x:c r="H17" s="119"/>
      <x:c r="I17" s="128"/>
      <x:c r="J17" s="131"/>
      <x:c r="K17" s="129" t="str">
        <x:f>IF(COUNTA(A17:J17)=0,"",IF(OR(B17="Compra",B17="Venta"),IF(OR(E17="",F17=""),"",E17*F17+IF(I17="",0,I17)),IF(OR(B17="Dividendo",B17="Depósito",B17="Retiro",B17="Comisión"),G17,"")))</x:f>
      </x:c>
      <x:c r="L17" s="121" t="str">
        <x:f>IF(COUNTA(A17:J17)=0,"",IF(M17="","Completo","Falta información"))</x:f>
      </x:c>
      <x:c r="M17" s="133" t="str">
        <x:f>IF(COUNTA(A17:J17)=0,"",IF(A17="","Fecha; ","")&amp;IF(B17="","Tipo; ","")&amp;IF(C17="","Cuenta; ","")&amp;IF(H17="","Moneda; ","")&amp;IF(OR(B17="Compra",B17="Venta"),IF(D17="","Ticker; ","")&amp;IF(E17="","Cantidad; ","")&amp;IF(F17="","Precio unitario; ",""),"")&amp;IF(B17="Dividendo",IF(D17="","Ticker; ","")&amp;IF(G17="","Monto; ",""),"")&amp;IF(OR(B17="Depósito",B17="Retiro",B17="Comisión"),IF(G17="","Monto; ",""),""))</x:f>
      </x:c>
    </x:row>
    <x:row r="18">
      <x:c r="A18" s="123"/>
      <x:c r="B18" s="119"/>
      <x:c r="C18" s="119"/>
      <x:c r="D18" s="119"/>
      <x:c r="E18" s="125"/>
      <x:c r="F18" s="125"/>
      <x:c r="G18" s="125"/>
      <x:c r="H18" s="119"/>
      <x:c r="I18" s="128"/>
      <x:c r="J18" s="131"/>
      <x:c r="K18" s="129" t="str">
        <x:f>IF(COUNTA(A18:J18)=0,"",IF(OR(B18="Compra",B18="Venta"),IF(OR(E18="",F18=""),"",E18*F18+IF(I18="",0,I18)),IF(OR(B18="Dividendo",B18="Depósito",B18="Retiro",B18="Comisión"),G18,"")))</x:f>
      </x:c>
      <x:c r="L18" s="121" t="str">
        <x:f>IF(COUNTA(A18:J18)=0,"",IF(M18="","Completo","Falta información"))</x:f>
      </x:c>
      <x:c r="M18" s="133" t="str">
        <x:f>IF(COUNTA(A18:J18)=0,"",IF(A18="","Fecha; ","")&amp;IF(B18="","Tipo; ","")&amp;IF(C18="","Cuenta; ","")&amp;IF(H18="","Moneda; ","")&amp;IF(OR(B18="Compra",B18="Venta"),IF(D18="","Ticker; ","")&amp;IF(E18="","Cantidad; ","")&amp;IF(F18="","Precio unitario; ",""),"")&amp;IF(B18="Dividendo",IF(D18="","Ticker; ","")&amp;IF(G18="","Monto; ",""),"")&amp;IF(OR(B18="Depósito",B18="Retiro",B18="Comisión"),IF(G18="","Monto; ",""),""))</x:f>
      </x:c>
    </x:row>
    <x:row r="19">
      <x:c r="A19" s="123"/>
      <x:c r="B19" s="119"/>
      <x:c r="C19" s="119"/>
      <x:c r="D19" s="119"/>
      <x:c r="E19" s="125"/>
      <x:c r="F19" s="125"/>
      <x:c r="G19" s="125"/>
      <x:c r="H19" s="119"/>
      <x:c r="I19" s="128"/>
      <x:c r="J19" s="131"/>
      <x:c r="K19" s="129" t="str">
        <x:f>IF(COUNTA(A19:J19)=0,"",IF(OR(B19="Compra",B19="Venta"),IF(OR(E19="",F19=""),"",E19*F19+IF(I19="",0,I19)),IF(OR(B19="Dividendo",B19="Depósito",B19="Retiro",B19="Comisión"),G19,"")))</x:f>
      </x:c>
      <x:c r="L19" s="121" t="str">
        <x:f>IF(COUNTA(A19:J19)=0,"",IF(M19="","Completo","Falta información"))</x:f>
      </x:c>
      <x:c r="M19" s="133" t="str">
        <x:f>IF(COUNTA(A19:J19)=0,"",IF(A19="","Fecha; ","")&amp;IF(B19="","Tipo; ","")&amp;IF(C19="","Cuenta; ","")&amp;IF(H19="","Moneda; ","")&amp;IF(OR(B19="Compra",B19="Venta"),IF(D19="","Ticker; ","")&amp;IF(E19="","Cantidad; ","")&amp;IF(F19="","Precio unitario; ",""),"")&amp;IF(B19="Dividendo",IF(D19="","Ticker; ","")&amp;IF(G19="","Monto; ",""),"")&amp;IF(OR(B19="Depósito",B19="Retiro",B19="Comisión"),IF(G19="","Monto; ",""),""))</x:f>
      </x:c>
    </x:row>
    <x:row r="20">
      <x:c r="A20" s="123"/>
      <x:c r="B20" s="119"/>
      <x:c r="C20" s="119"/>
      <x:c r="D20" s="119"/>
      <x:c r="E20" s="125"/>
      <x:c r="F20" s="125"/>
      <x:c r="G20" s="125"/>
      <x:c r="H20" s="119"/>
      <x:c r="I20" s="128"/>
      <x:c r="J20" s="131"/>
      <x:c r="K20" s="129" t="str">
        <x:f>IF(COUNTA(A20:J20)=0,"",IF(OR(B20="Compra",B20="Venta"),IF(OR(E20="",F20=""),"",E20*F20+IF(I20="",0,I20)),IF(OR(B20="Dividendo",B20="Depósito",B20="Retiro",B20="Comisión"),G20,"")))</x:f>
      </x:c>
      <x:c r="L20" s="121" t="str">
        <x:f>IF(COUNTA(A20:J20)=0,"",IF(M20="","Completo","Falta información"))</x:f>
      </x:c>
      <x:c r="M20" s="133" t="str">
        <x:f>IF(COUNTA(A20:J20)=0,"",IF(A20="","Fecha; ","")&amp;IF(B20="","Tipo; ","")&amp;IF(C20="","Cuenta; ","")&amp;IF(H20="","Moneda; ","")&amp;IF(OR(B20="Compra",B20="Venta"),IF(D20="","Ticker; ","")&amp;IF(E20="","Cantidad; ","")&amp;IF(F20="","Precio unitario; ",""),"")&amp;IF(B20="Dividendo",IF(D20="","Ticker; ","")&amp;IF(G20="","Monto; ",""),"")&amp;IF(OR(B20="Depósito",B20="Retiro",B20="Comisión"),IF(G20="","Monto; ",""),""))</x:f>
      </x:c>
    </x:row>
    <x:row r="21">
      <x:c r="A21" s="123"/>
      <x:c r="B21" s="119"/>
      <x:c r="C21" s="119"/>
      <x:c r="D21" s="119"/>
      <x:c r="E21" s="125"/>
      <x:c r="F21" s="125"/>
      <x:c r="G21" s="125"/>
      <x:c r="H21" s="119"/>
      <x:c r="I21" s="128"/>
      <x:c r="J21" s="131"/>
      <x:c r="K21" s="129" t="str">
        <x:f>IF(COUNTA(A21:J21)=0,"",IF(OR(B21="Compra",B21="Venta"),IF(OR(E21="",F21=""),"",E21*F21+IF(I21="",0,I21)),IF(OR(B21="Dividendo",B21="Depósito",B21="Retiro",B21="Comisión"),G21,"")))</x:f>
      </x:c>
      <x:c r="L21" s="121" t="str">
        <x:f>IF(COUNTA(A21:J21)=0,"",IF(M21="","Completo","Falta información"))</x:f>
      </x:c>
      <x:c r="M21" s="133" t="str">
        <x:f>IF(COUNTA(A21:J21)=0,"",IF(A21="","Fecha; ","")&amp;IF(B21="","Tipo; ","")&amp;IF(C21="","Cuenta; ","")&amp;IF(H21="","Moneda; ","")&amp;IF(OR(B21="Compra",B21="Venta"),IF(D21="","Ticker; ","")&amp;IF(E21="","Cantidad; ","")&amp;IF(F21="","Precio unitario; ",""),"")&amp;IF(B21="Dividendo",IF(D21="","Ticker; ","")&amp;IF(G21="","Monto; ",""),"")&amp;IF(OR(B21="Depósito",B21="Retiro",B21="Comisión"),IF(G21="","Monto; ",""),""))</x:f>
      </x:c>
    </x:row>
    <x:row r="22">
      <x:c r="A22" s="123"/>
      <x:c r="B22" s="119"/>
      <x:c r="C22" s="119"/>
      <x:c r="D22" s="119"/>
      <x:c r="E22" s="125"/>
      <x:c r="F22" s="125"/>
      <x:c r="G22" s="125"/>
      <x:c r="H22" s="119"/>
      <x:c r="I22" s="128"/>
      <x:c r="J22" s="131"/>
      <x:c r="K22" s="129" t="str">
        <x:f>IF(COUNTA(A22:J22)=0,"",IF(OR(B22="Compra",B22="Venta"),IF(OR(E22="",F22=""),"",E22*F22+IF(I22="",0,I22)),IF(OR(B22="Dividendo",B22="Depósito",B22="Retiro",B22="Comisión"),G22,"")))</x:f>
      </x:c>
      <x:c r="L22" s="121" t="str">
        <x:f>IF(COUNTA(A22:J22)=0,"",IF(M22="","Completo","Falta información"))</x:f>
      </x:c>
      <x:c r="M22" s="133" t="str">
        <x:f>IF(COUNTA(A22:J22)=0,"",IF(A22="","Fecha; ","")&amp;IF(B22="","Tipo; ","")&amp;IF(C22="","Cuenta; ","")&amp;IF(H22="","Moneda; ","")&amp;IF(OR(B22="Compra",B22="Venta"),IF(D22="","Ticker; ","")&amp;IF(E22="","Cantidad; ","")&amp;IF(F22="","Precio unitario; ",""),"")&amp;IF(B22="Dividendo",IF(D22="","Ticker; ","")&amp;IF(G22="","Monto; ",""),"")&amp;IF(OR(B22="Depósito",B22="Retiro",B22="Comisión"),IF(G22="","Monto; ",""),""))</x:f>
      </x:c>
    </x:row>
    <x:row r="23">
      <x:c r="A23" s="123"/>
      <x:c r="B23" s="119"/>
      <x:c r="C23" s="119"/>
      <x:c r="D23" s="119"/>
      <x:c r="E23" s="125"/>
      <x:c r="F23" s="125"/>
      <x:c r="G23" s="125"/>
      <x:c r="H23" s="119"/>
      <x:c r="I23" s="128"/>
      <x:c r="J23" s="131"/>
      <x:c r="K23" s="129" t="str">
        <x:f>IF(COUNTA(A23:J23)=0,"",IF(OR(B23="Compra",B23="Venta"),IF(OR(E23="",F23=""),"",E23*F23+IF(I23="",0,I23)),IF(OR(B23="Dividendo",B23="Depósito",B23="Retiro",B23="Comisión"),G23,"")))</x:f>
      </x:c>
      <x:c r="L23" s="121" t="str">
        <x:f>IF(COUNTA(A23:J23)=0,"",IF(M23="","Completo","Falta información"))</x:f>
      </x:c>
      <x:c r="M23" s="133" t="str">
        <x:f>IF(COUNTA(A23:J23)=0,"",IF(A23="","Fecha; ","")&amp;IF(B23="","Tipo; ","")&amp;IF(C23="","Cuenta; ","")&amp;IF(H23="","Moneda; ","")&amp;IF(OR(B23="Compra",B23="Venta"),IF(D23="","Ticker; ","")&amp;IF(E23="","Cantidad; ","")&amp;IF(F23="","Precio unitario; ",""),"")&amp;IF(B23="Dividendo",IF(D23="","Ticker; ","")&amp;IF(G23="","Monto; ",""),"")&amp;IF(OR(B23="Depósito",B23="Retiro",B23="Comisión"),IF(G23="","Monto; ",""),""))</x:f>
      </x:c>
    </x:row>
    <x:row r="24">
      <x:c r="A24" s="123"/>
      <x:c r="B24" s="119"/>
      <x:c r="C24" s="119"/>
      <x:c r="D24" s="119"/>
      <x:c r="E24" s="125"/>
      <x:c r="F24" s="125"/>
      <x:c r="G24" s="125"/>
      <x:c r="H24" s="119"/>
      <x:c r="I24" s="128"/>
      <x:c r="J24" s="131"/>
      <x:c r="K24" s="129" t="str">
        <x:f>IF(COUNTA(A24:J24)=0,"",IF(OR(B24="Compra",B24="Venta"),IF(OR(E24="",F24=""),"",E24*F24+IF(I24="",0,I24)),IF(OR(B24="Dividendo",B24="Depósito",B24="Retiro",B24="Comisión"),G24,"")))</x:f>
      </x:c>
      <x:c r="L24" s="121" t="str">
        <x:f>IF(COUNTA(A24:J24)=0,"",IF(M24="","Completo","Falta información"))</x:f>
      </x:c>
      <x:c r="M24" s="133" t="str">
        <x:f>IF(COUNTA(A24:J24)=0,"",IF(A24="","Fecha; ","")&amp;IF(B24="","Tipo; ","")&amp;IF(C24="","Cuenta; ","")&amp;IF(H24="","Moneda; ","")&amp;IF(OR(B24="Compra",B24="Venta"),IF(D24="","Ticker; ","")&amp;IF(E24="","Cantidad; ","")&amp;IF(F24="","Precio unitario; ",""),"")&amp;IF(B24="Dividendo",IF(D24="","Ticker; ","")&amp;IF(G24="","Monto; ",""),"")&amp;IF(OR(B24="Depósito",B24="Retiro",B24="Comisión"),IF(G24="","Monto; ",""),""))</x:f>
      </x:c>
    </x:row>
    <x:row r="25">
      <x:c r="A25" s="123"/>
      <x:c r="B25" s="119"/>
      <x:c r="C25" s="119"/>
      <x:c r="D25" s="119"/>
      <x:c r="E25" s="125"/>
      <x:c r="F25" s="125"/>
      <x:c r="G25" s="125"/>
      <x:c r="H25" s="119"/>
      <x:c r="I25" s="128"/>
      <x:c r="J25" s="131"/>
      <x:c r="K25" s="129" t="str">
        <x:f>IF(COUNTA(A25:J25)=0,"",IF(OR(B25="Compra",B25="Venta"),IF(OR(E25="",F25=""),"",E25*F25+IF(I25="",0,I25)),IF(OR(B25="Dividendo",B25="Depósito",B25="Retiro",B25="Comisión"),G25,"")))</x:f>
      </x:c>
      <x:c r="L25" s="121" t="str">
        <x:f>IF(COUNTA(A25:J25)=0,"",IF(M25="","Completo","Falta información"))</x:f>
      </x:c>
      <x:c r="M25" s="133" t="str">
        <x:f>IF(COUNTA(A25:J25)=0,"",IF(A25="","Fecha; ","")&amp;IF(B25="","Tipo; ","")&amp;IF(C25="","Cuenta; ","")&amp;IF(H25="","Moneda; ","")&amp;IF(OR(B25="Compra",B25="Venta"),IF(D25="","Ticker; ","")&amp;IF(E25="","Cantidad; ","")&amp;IF(F25="","Precio unitario; ",""),"")&amp;IF(B25="Dividendo",IF(D25="","Ticker; ","")&amp;IF(G25="","Monto; ",""),"")&amp;IF(OR(B25="Depósito",B25="Retiro",B25="Comisión"),IF(G25="","Monto; ",""),""))</x:f>
      </x:c>
    </x:row>
    <x:row r="26">
      <x:c r="A26" s="123"/>
      <x:c r="B26" s="119"/>
      <x:c r="C26" s="119"/>
      <x:c r="D26" s="119"/>
      <x:c r="E26" s="125"/>
      <x:c r="F26" s="125"/>
      <x:c r="G26" s="125"/>
      <x:c r="H26" s="119"/>
      <x:c r="I26" s="128"/>
      <x:c r="J26" s="131"/>
      <x:c r="K26" s="129" t="str">
        <x:f>IF(COUNTA(A26:J26)=0,"",IF(OR(B26="Compra",B26="Venta"),IF(OR(E26="",F26=""),"",E26*F26+IF(I26="",0,I26)),IF(OR(B26="Dividendo",B26="Depósito",B26="Retiro",B26="Comisión"),G26,"")))</x:f>
      </x:c>
      <x:c r="L26" s="121" t="str">
        <x:f>IF(COUNTA(A26:J26)=0,"",IF(M26="","Completo","Falta información"))</x:f>
      </x:c>
      <x:c r="M26" s="133" t="str">
        <x:f>IF(COUNTA(A26:J26)=0,"",IF(A26="","Fecha; ","")&amp;IF(B26="","Tipo; ","")&amp;IF(C26="","Cuenta; ","")&amp;IF(H26="","Moneda; ","")&amp;IF(OR(B26="Compra",B26="Venta"),IF(D26="","Ticker; ","")&amp;IF(E26="","Cantidad; ","")&amp;IF(F26="","Precio unitario; ",""),"")&amp;IF(B26="Dividendo",IF(D26="","Ticker; ","")&amp;IF(G26="","Monto; ",""),"")&amp;IF(OR(B26="Depósito",B26="Retiro",B26="Comisión"),IF(G26="","Monto; ",""),""))</x:f>
      </x:c>
    </x:row>
    <x:row r="27">
      <x:c r="A27" s="123"/>
      <x:c r="B27" s="119"/>
      <x:c r="C27" s="119"/>
      <x:c r="D27" s="119"/>
      <x:c r="E27" s="125"/>
      <x:c r="F27" s="125"/>
      <x:c r="G27" s="125"/>
      <x:c r="H27" s="119"/>
      <x:c r="I27" s="128"/>
      <x:c r="J27" s="131"/>
      <x:c r="K27" s="129" t="str">
        <x:f>IF(COUNTA(A27:J27)=0,"",IF(OR(B27="Compra",B27="Venta"),IF(OR(E27="",F27=""),"",E27*F27+IF(I27="",0,I27)),IF(OR(B27="Dividendo",B27="Depósito",B27="Retiro",B27="Comisión"),G27,"")))</x:f>
      </x:c>
      <x:c r="L27" s="121" t="str">
        <x:f>IF(COUNTA(A27:J27)=0,"",IF(M27="","Completo","Falta información"))</x:f>
      </x:c>
      <x:c r="M27" s="133" t="str">
        <x:f>IF(COUNTA(A27:J27)=0,"",IF(A27="","Fecha; ","")&amp;IF(B27="","Tipo; ","")&amp;IF(C27="","Cuenta; ","")&amp;IF(H27="","Moneda; ","")&amp;IF(OR(B27="Compra",B27="Venta"),IF(D27="","Ticker; ","")&amp;IF(E27="","Cantidad; ","")&amp;IF(F27="","Precio unitario; ",""),"")&amp;IF(B27="Dividendo",IF(D27="","Ticker; ","")&amp;IF(G27="","Monto; ",""),"")&amp;IF(OR(B27="Depósito",B27="Retiro",B27="Comisión"),IF(G27="","Monto; ",""),""))</x:f>
      </x:c>
    </x:row>
    <x:row r="28">
      <x:c r="A28" s="123"/>
      <x:c r="B28" s="119"/>
      <x:c r="C28" s="119"/>
      <x:c r="D28" s="119"/>
      <x:c r="E28" s="125"/>
      <x:c r="F28" s="125"/>
      <x:c r="G28" s="125"/>
      <x:c r="H28" s="119"/>
      <x:c r="I28" s="128"/>
      <x:c r="J28" s="131"/>
      <x:c r="K28" s="129" t="str">
        <x:f>IF(COUNTA(A28:J28)=0,"",IF(OR(B28="Compra",B28="Venta"),IF(OR(E28="",F28=""),"",E28*F28+IF(I28="",0,I28)),IF(OR(B28="Dividendo",B28="Depósito",B28="Retiro",B28="Comisión"),G28,"")))</x:f>
      </x:c>
      <x:c r="L28" s="121" t="str">
        <x:f>IF(COUNTA(A28:J28)=0,"",IF(M28="","Completo","Falta información"))</x:f>
      </x:c>
      <x:c r="M28" s="133" t="str">
        <x:f>IF(COUNTA(A28:J28)=0,"",IF(A28="","Fecha; ","")&amp;IF(B28="","Tipo; ","")&amp;IF(C28="","Cuenta; ","")&amp;IF(H28="","Moneda; ","")&amp;IF(OR(B28="Compra",B28="Venta"),IF(D28="","Ticker; ","")&amp;IF(E28="","Cantidad; ","")&amp;IF(F28="","Precio unitario; ",""),"")&amp;IF(B28="Dividendo",IF(D28="","Ticker; ","")&amp;IF(G28="","Monto; ",""),"")&amp;IF(OR(B28="Depósito",B28="Retiro",B28="Comisión"),IF(G28="","Monto; ",""),""))</x:f>
      </x:c>
    </x:row>
    <x:row r="29">
      <x:c r="A29" s="123"/>
      <x:c r="B29" s="119"/>
      <x:c r="C29" s="119"/>
      <x:c r="D29" s="119"/>
      <x:c r="E29" s="125"/>
      <x:c r="F29" s="125"/>
      <x:c r="G29" s="125"/>
      <x:c r="H29" s="119"/>
      <x:c r="I29" s="128"/>
      <x:c r="J29" s="131"/>
      <x:c r="K29" s="129" t="str">
        <x:f>IF(COUNTA(A29:J29)=0,"",IF(OR(B29="Compra",B29="Venta"),IF(OR(E29="",F29=""),"",E29*F29+IF(I29="",0,I29)),IF(OR(B29="Dividendo",B29="Depósito",B29="Retiro",B29="Comisión"),G29,"")))</x:f>
      </x:c>
      <x:c r="L29" s="121" t="str">
        <x:f>IF(COUNTA(A29:J29)=0,"",IF(M29="","Completo","Falta información"))</x:f>
      </x:c>
      <x:c r="M29" s="133" t="str">
        <x:f>IF(COUNTA(A29:J29)=0,"",IF(A29="","Fecha; ","")&amp;IF(B29="","Tipo; ","")&amp;IF(C29="","Cuenta; ","")&amp;IF(H29="","Moneda; ","")&amp;IF(OR(B29="Compra",B29="Venta"),IF(D29="","Ticker; ","")&amp;IF(E29="","Cantidad; ","")&amp;IF(F29="","Precio unitario; ",""),"")&amp;IF(B29="Dividendo",IF(D29="","Ticker; ","")&amp;IF(G29="","Monto; ",""),"")&amp;IF(OR(B29="Depósito",B29="Retiro",B29="Comisión"),IF(G29="","Monto; ",""),""))</x:f>
      </x:c>
    </x:row>
    <x:row r="30">
      <x:c r="A30" s="123"/>
      <x:c r="B30" s="119"/>
      <x:c r="C30" s="119"/>
      <x:c r="D30" s="119"/>
      <x:c r="E30" s="125"/>
      <x:c r="F30" s="125"/>
      <x:c r="G30" s="125"/>
      <x:c r="H30" s="119"/>
      <x:c r="I30" s="128"/>
      <x:c r="J30" s="131"/>
      <x:c r="K30" s="129" t="str">
        <x:f>IF(COUNTA(A30:J30)=0,"",IF(OR(B30="Compra",B30="Venta"),IF(OR(E30="",F30=""),"",E30*F30+IF(I30="",0,I30)),IF(OR(B30="Dividendo",B30="Depósito",B30="Retiro",B30="Comisión"),G30,"")))</x:f>
      </x:c>
      <x:c r="L30" s="121" t="str">
        <x:f>IF(COUNTA(A30:J30)=0,"",IF(M30="","Completo","Falta información"))</x:f>
      </x:c>
      <x:c r="M30" s="133" t="str">
        <x:f>IF(COUNTA(A30:J30)=0,"",IF(A30="","Fecha; ","")&amp;IF(B30="","Tipo; ","")&amp;IF(C30="","Cuenta; ","")&amp;IF(H30="","Moneda; ","")&amp;IF(OR(B30="Compra",B30="Venta"),IF(D30="","Ticker; ","")&amp;IF(E30="","Cantidad; ","")&amp;IF(F30="","Precio unitario; ",""),"")&amp;IF(B30="Dividendo",IF(D30="","Ticker; ","")&amp;IF(G30="","Monto; ",""),"")&amp;IF(OR(B30="Depósito",B30="Retiro",B30="Comisión"),IF(G30="","Monto; ",""),""))</x:f>
      </x:c>
    </x:row>
  </x:sheetData>
  <x:mergeCells>
    <x:mergeCell ref="A1:M1"/>
    <x:mergeCell ref="A2:M3"/>
  </x:mergeCells>
  <x:conditionalFormatting sqref="L6:L30">
    <x:cfRule type="containsText" dxfId="2" priority="1" operator="containsText" text="Falta información"/>
    <x:cfRule type="containsText" dxfId="3" priority="2" operator="containsText" text="Completo"/>
  </x:conditionalFormatting>
  <x:conditionalFormatting sqref="A6:A30">
    <x:cfRule type="expression" dxfId="4" priority="3">
      <x:formula>AND(COUNTA($A6:$J6)&gt;0,$A6="")</x:formula>
    </x:cfRule>
  </x:conditionalFormatting>
  <x:conditionalFormatting sqref="B6:B30">
    <x:cfRule type="expression" dxfId="5" priority="4">
      <x:formula>AND(COUNTA($A6:$J6)&gt;0,$B6="")</x:formula>
    </x:cfRule>
  </x:conditionalFormatting>
  <x:conditionalFormatting sqref="C6:C30">
    <x:cfRule type="expression" dxfId="6" priority="5">
      <x:formula>AND(COUNTA($A6:$J6)&gt;0,$C6="")</x:formula>
    </x:cfRule>
  </x:conditionalFormatting>
  <x:conditionalFormatting sqref="H6:H30">
    <x:cfRule type="expression" dxfId="7" priority="6">
      <x:formula>AND(COUNTA($A6:$J6)&gt;0,$H6="")</x:formula>
    </x:cfRule>
  </x:conditionalFormatting>
  <x:conditionalFormatting sqref="D6:D30">
    <x:cfRule type="expression" dxfId="8" priority="7">
      <x:formula>AND(COUNTA($A6:$J6)&gt;0,OR($B6="Compra",$B6="Venta",$B6="Dividendo"),$D6="")</x:formula>
    </x:cfRule>
  </x:conditionalFormatting>
  <x:conditionalFormatting sqref="E6:E30">
    <x:cfRule type="expression" dxfId="9" priority="8">
      <x:formula>AND(COUNTA($A6:$J6)&gt;0,OR($B6="Compra",$B6="Venta"),$E6="")</x:formula>
    </x:cfRule>
  </x:conditionalFormatting>
  <x:conditionalFormatting sqref="F6:F30">
    <x:cfRule type="expression" dxfId="10" priority="9">
      <x:formula>AND(COUNTA($A6:$J6)&gt;0,OR($B6="Compra",$B6="Venta"),$F6="")</x:formula>
    </x:cfRule>
  </x:conditionalFormatting>
  <x:conditionalFormatting sqref="G6:G30">
    <x:cfRule type="expression" dxfId="11" priority="10">
      <x:formula>AND(COUNTA($A6:$J6)&gt;0,OR($B6="Dividendo",$B6="Comisión",$B6="Depósito",$B6="Retiro"),$G6="")</x:formula>
    </x:cfRule>
  </x:conditionalFormatting>
  <x:dataValidations count="2">
    <x:dataValidation type="list" sqref="B6:B30">
      <x:formula1>"Compra,Venta,Dividendo,Comisión,Depósito,Retiro"</x:formula1>
    </x:dataValidation>
    <x:dataValidation type="list" sqref="H6:H30">
      <x:formula1>"USD,ARS,EUR"</x:formula1>
    </x:dataValidation>
  </x:dataValidations>
  <x:pageMargins left="0.7" right="0.7" top="0.75" bottom="0.75" header="0.3" footer="0.3"/>
  <x:legacyDrawing xmlns:r="http://schemas.openxmlformats.org/officeDocument/2006/relationships" r:id="R92fcd1f841294a9f"/>
  <x:tableParts count="1">
    <x:tablePart xmlns:r="http://schemas.openxmlformats.org/officeDocument/2006/relationships" r:id="Ra0d26da111a1487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32" hidden="0" customWidth="1"/>
    <x:col min="3" max="3" width="15" hidden="0" customWidth="1"/>
    <x:col min="4" max="4" width="15" hidden="0" customWidth="1"/>
    <x:col min="5" max="5" width="14" hidden="0" customWidth="1"/>
    <x:col min="6" max="6" width="34" hidden="0" customWidth="1"/>
    <x:col min="7" max="7" width="14" hidden="0" customWidth="1"/>
    <x:col min="8" max="8" width="16" hidden="0" customWidth="1"/>
    <x:col min="9" max="9" width="17" hidden="0" customWidth="1"/>
    <x:col min="10" max="10" width="17" hidden="0" customWidth="1"/>
    <x:col min="11" max="11" width="24" hidden="0" customWidth="1"/>
    <x:col min="12" max="12" width="17" hidden="0" customWidth="1"/>
    <x:col min="13" max="13" width="18" hidden="0" customWidth="1"/>
    <x:col min="14" max="14" width="36" hidden="0" customWidth="1"/>
  </x:cols>
  <x:sheetData>
    <x:row r="1" ht="34" customHeight="1">
      <x:c r="A1" s="3" t="str">
        <x:v>Plan de inversión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8" customHeight="1">
      <x:c r="A2" s="7" t="str">
        <x:v>Tus reglas por activo. El agente puede sugerir cambios, pero no debe inventar la tesis, el límite de riesgo ni la condición que te haría salir.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 ht="12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</x:row>
    <x:row r="5" ht="34" customHeight="1">
      <x:c r="A5" s="110" t="str">
        <x:v>Ticker*</x:v>
      </x:c>
      <x:c r="B5" s="111" t="str">
        <x:v>Tesis breve*</x:v>
      </x:c>
      <x:c r="C5" s="111" t="str">
        <x:v>Entrada desde*</x:v>
      </x:c>
      <x:c r="D5" s="111" t="str">
        <x:v>Entrada hasta*</x:v>
      </x:c>
      <x:c r="E5" s="111" t="str">
        <x:v>Objetivo*</x:v>
      </x:c>
      <x:c r="F5" s="111" t="str">
        <x:v>Invalida la tesis*</x:v>
      </x:c>
      <x:c r="G5" s="111" t="str">
        <x:v>Peso máximo*</x:v>
      </x:c>
      <x:c r="H5" s="111" t="str">
        <x:v>Horizonte*</x:v>
      </x:c>
      <x:c r="I5" s="111" t="str">
        <x:v>Estado*</x:v>
      </x:c>
      <x:c r="J5" s="111" t="str">
        <x:v>Precio actual (agente)</x:v>
      </x:c>
      <x:c r="K5" s="111" t="str">
        <x:v>Acción sugerida (agente)</x:v>
      </x:c>
      <x:c r="L5" s="111" t="str">
        <x:v>Próxima revisión*</x:v>
      </x:c>
      <x:c r="M5" s="111" t="str">
        <x:v>Estado fila</x:v>
      </x:c>
      <x:c r="N5" s="112" t="str">
        <x:v>Datos faltantes</x:v>
      </x:c>
    </x:row>
    <x:row r="6">
      <x:c r="A6" s="118" t="str">
        <x:v>AAPL</x:v>
      </x:c>
      <x:c r="B6" s="142" t="str">
        <x:v>Ecosistema sólido y alta generación de caja</x:v>
      </x:c>
      <x:c r="C6" s="126" t="n">
        <x:v>170</x:v>
      </x:c>
      <x:c r="D6" s="126" t="n">
        <x:v>185</x:v>
      </x:c>
      <x:c r="E6" s="126" t="n">
        <x:v>230</x:v>
      </x:c>
      <x:c r="F6" s="130" t="str">
        <x:v>Deterioro persistente de servicios o caja</x:v>
      </x:c>
      <x:c r="G6" s="138" t="n">
        <x:v>0.12</x:v>
      </x:c>
      <x:c r="H6" s="118" t="str">
        <x:v>Largo plazo</x:v>
      </x:c>
      <x:c r="I6" s="118" t="str">
        <x:v>En seguimiento</x:v>
      </x:c>
      <x:c r="J6" s="140" t="n">
        <x:v>182</x:v>
      </x:c>
      <x:c r="K6" s="136" t="str">
        <x:v>ACUMULAR EN RANGO</x:v>
      </x:c>
      <x:c r="L6" s="122" t="n">
        <x:v>46280.5</x:v>
      </x:c>
      <x:c r="M6" s="120" t="str">
        <x:f>IF(COUNTA(A6:L6)=0,"",IF(N6="","Completo","Falta información"))</x:f>
        <x:v>Completo</x:v>
      </x:c>
      <x:c r="N6" s="132" t="str">
        <x:f>IF(COUNTA(A6:L6)=0,"",IF(A6="","Ticker; ","")&amp;IF(B6="","Tesis; ","")&amp;IF(C6="","Entrada desde; ","")&amp;IF(D6="","Entrada hasta; ","")&amp;IF(E6="","Objetivo; ","")&amp;IF(F6="","Invalida tesis; ","")&amp;IF(G6="","Peso máximo; ","")&amp;IF(H6="","Horizonte; ","")&amp;IF(I6="","Estado; ","")&amp;IF(L6="","Próxima revisión; ",""))</x:f>
      </x:c>
    </x:row>
    <x:row r="7">
      <x:c r="A7" s="119" t="str">
        <x:v>MELI</x:v>
      </x:c>
      <x:c r="B7" s="143" t="str">
        <x:v>Crecimiento del comercio y pagos digitales en LatAm</x:v>
      </x:c>
      <x:c r="C7" s="128" t="n">
        <x:v>1500</x:v>
      </x:c>
      <x:c r="D7" s="128" t="n">
        <x:v>1650</x:v>
      </x:c>
      <x:c r="E7" s="128" t="n">
        <x:v>2100</x:v>
      </x:c>
      <x:c r="F7" s="131"/>
      <x:c r="G7" s="139"/>
      <x:c r="H7" s="119" t="str">
        <x:v>Largo plazo</x:v>
      </x:c>
      <x:c r="I7" s="119" t="str">
        <x:v>En seguimiento</x:v>
      </x:c>
      <x:c r="J7" s="141" t="n">
        <x:v>1720</x:v>
      </x:c>
      <x:c r="K7" s="137" t="str">
        <x:v>ESPERAR</x:v>
      </x:c>
      <x:c r="L7" s="123" t="n">
        <x:v>46285.5</x:v>
      </x:c>
      <x:c r="M7" s="121" t="str">
        <x:f>IF(COUNTA(A7:L7)=0,"",IF(N7="","Completo","Falta información"))</x:f>
        <x:v>Falta información</x:v>
      </x:c>
      <x:c r="N7" s="133" t="str">
        <x:f>IF(COUNTA(A7:L7)=0,"",IF(A7="","Ticker; ","")&amp;IF(B7="","Tesis; ","")&amp;IF(C7="","Entrada desde; ","")&amp;IF(D7="","Entrada hasta; ","")&amp;IF(E7="","Objetivo; ","")&amp;IF(F7="","Invalida tesis; ","")&amp;IF(G7="","Peso máximo; ","")&amp;IF(H7="","Horizonte; ","")&amp;IF(I7="","Estado; ","")&amp;IF(L7="","Próxima revisión; ",""))</x:f>
        <x:v>Invalida tesis; Peso máximo; </x:v>
      </x:c>
    </x:row>
    <x:row r="8">
      <x:c r="A8" s="119"/>
      <x:c r="B8" s="143"/>
      <x:c r="C8" s="128"/>
      <x:c r="D8" s="128"/>
      <x:c r="E8" s="128"/>
      <x:c r="F8" s="131"/>
      <x:c r="G8" s="139"/>
      <x:c r="H8" s="119"/>
      <x:c r="I8" s="119"/>
      <x:c r="J8" s="141"/>
      <x:c r="K8" s="137"/>
      <x:c r="L8" s="123"/>
      <x:c r="M8" s="121" t="str">
        <x:f>IF(COUNTA(A8:L8)=0,"",IF(N8="","Completo","Falta información"))</x:f>
      </x:c>
      <x:c r="N8" s="133" t="str">
        <x:f>IF(COUNTA(A8:L8)=0,"",IF(A8="","Ticker; ","")&amp;IF(B8="","Tesis; ","")&amp;IF(C8="","Entrada desde; ","")&amp;IF(D8="","Entrada hasta; ","")&amp;IF(E8="","Objetivo; ","")&amp;IF(F8="","Invalida tesis; ","")&amp;IF(G8="","Peso máximo; ","")&amp;IF(H8="","Horizonte; ","")&amp;IF(I8="","Estado; ","")&amp;IF(L8="","Próxima revisión; ",""))</x:f>
      </x:c>
    </x:row>
    <x:row r="9">
      <x:c r="A9" s="119"/>
      <x:c r="B9" s="143"/>
      <x:c r="C9" s="128"/>
      <x:c r="D9" s="128"/>
      <x:c r="E9" s="128"/>
      <x:c r="F9" s="131"/>
      <x:c r="G9" s="139"/>
      <x:c r="H9" s="119"/>
      <x:c r="I9" s="119"/>
      <x:c r="J9" s="141"/>
      <x:c r="K9" s="137"/>
      <x:c r="L9" s="123"/>
      <x:c r="M9" s="121" t="str">
        <x:f>IF(COUNTA(A9:L9)=0,"",IF(N9="","Completo","Falta información"))</x:f>
      </x:c>
      <x:c r="N9" s="133" t="str">
        <x:f>IF(COUNTA(A9:L9)=0,"",IF(A9="","Ticker; ","")&amp;IF(B9="","Tesis; ","")&amp;IF(C9="","Entrada desde; ","")&amp;IF(D9="","Entrada hasta; ","")&amp;IF(E9="","Objetivo; ","")&amp;IF(F9="","Invalida tesis; ","")&amp;IF(G9="","Peso máximo; ","")&amp;IF(H9="","Horizonte; ","")&amp;IF(I9="","Estado; ","")&amp;IF(L9="","Próxima revisión; ",""))</x:f>
      </x:c>
    </x:row>
    <x:row r="10">
      <x:c r="A10" s="119"/>
      <x:c r="B10" s="143"/>
      <x:c r="C10" s="128"/>
      <x:c r="D10" s="128"/>
      <x:c r="E10" s="128"/>
      <x:c r="F10" s="131"/>
      <x:c r="G10" s="139"/>
      <x:c r="H10" s="119"/>
      <x:c r="I10" s="119"/>
      <x:c r="J10" s="141"/>
      <x:c r="K10" s="137"/>
      <x:c r="L10" s="123"/>
      <x:c r="M10" s="121" t="str">
        <x:f>IF(COUNTA(A10:L10)=0,"",IF(N10="","Completo","Falta información"))</x:f>
      </x:c>
      <x:c r="N10" s="133" t="str">
        <x:f>IF(COUNTA(A10:L10)=0,"",IF(A10="","Ticker; ","")&amp;IF(B10="","Tesis; ","")&amp;IF(C10="","Entrada desde; ","")&amp;IF(D10="","Entrada hasta; ","")&amp;IF(E10="","Objetivo; ","")&amp;IF(F10="","Invalida tesis; ","")&amp;IF(G10="","Peso máximo; ","")&amp;IF(H10="","Horizonte; ","")&amp;IF(I10="","Estado; ","")&amp;IF(L10="","Próxima revisión; ",""))</x:f>
      </x:c>
    </x:row>
    <x:row r="11">
      <x:c r="A11" s="119"/>
      <x:c r="B11" s="143"/>
      <x:c r="C11" s="128"/>
      <x:c r="D11" s="128"/>
      <x:c r="E11" s="128"/>
      <x:c r="F11" s="131"/>
      <x:c r="G11" s="139"/>
      <x:c r="H11" s="119"/>
      <x:c r="I11" s="119"/>
      <x:c r="J11" s="141"/>
      <x:c r="K11" s="137"/>
      <x:c r="L11" s="123"/>
      <x:c r="M11" s="121" t="str">
        <x:f>IF(COUNTA(A11:L11)=0,"",IF(N11="","Completo","Falta información"))</x:f>
      </x:c>
      <x:c r="N11" s="133" t="str">
        <x:f>IF(COUNTA(A11:L11)=0,"",IF(A11="","Ticker; ","")&amp;IF(B11="","Tesis; ","")&amp;IF(C11="","Entrada desde; ","")&amp;IF(D11="","Entrada hasta; ","")&amp;IF(E11="","Objetivo; ","")&amp;IF(F11="","Invalida tesis; ","")&amp;IF(G11="","Peso máximo; ","")&amp;IF(H11="","Horizonte; ","")&amp;IF(I11="","Estado; ","")&amp;IF(L11="","Próxima revisión; ",""))</x:f>
      </x:c>
    </x:row>
    <x:row r="12">
      <x:c r="A12" s="119"/>
      <x:c r="B12" s="143"/>
      <x:c r="C12" s="128"/>
      <x:c r="D12" s="128"/>
      <x:c r="E12" s="128"/>
      <x:c r="F12" s="131"/>
      <x:c r="G12" s="139"/>
      <x:c r="H12" s="119"/>
      <x:c r="I12" s="119"/>
      <x:c r="J12" s="141"/>
      <x:c r="K12" s="137"/>
      <x:c r="L12" s="123"/>
      <x:c r="M12" s="121" t="str">
        <x:f>IF(COUNTA(A12:L12)=0,"",IF(N12="","Completo","Falta información"))</x:f>
      </x:c>
      <x:c r="N12" s="133" t="str">
        <x:f>IF(COUNTA(A12:L12)=0,"",IF(A12="","Ticker; ","")&amp;IF(B12="","Tesis; ","")&amp;IF(C12="","Entrada desde; ","")&amp;IF(D12="","Entrada hasta; ","")&amp;IF(E12="","Objetivo; ","")&amp;IF(F12="","Invalida tesis; ","")&amp;IF(G12="","Peso máximo; ","")&amp;IF(H12="","Horizonte; ","")&amp;IF(I12="","Estado; ","")&amp;IF(L12="","Próxima revisión; ",""))</x:f>
      </x:c>
    </x:row>
    <x:row r="13">
      <x:c r="A13" s="119"/>
      <x:c r="B13" s="143"/>
      <x:c r="C13" s="128"/>
      <x:c r="D13" s="128"/>
      <x:c r="E13" s="128"/>
      <x:c r="F13" s="131"/>
      <x:c r="G13" s="139"/>
      <x:c r="H13" s="119"/>
      <x:c r="I13" s="119"/>
      <x:c r="J13" s="141"/>
      <x:c r="K13" s="137"/>
      <x:c r="L13" s="123"/>
      <x:c r="M13" s="121" t="str">
        <x:f>IF(COUNTA(A13:L13)=0,"",IF(N13="","Completo","Falta información"))</x:f>
      </x:c>
      <x:c r="N13" s="133" t="str">
        <x:f>IF(COUNTA(A13:L13)=0,"",IF(A13="","Ticker; ","")&amp;IF(B13="","Tesis; ","")&amp;IF(C13="","Entrada desde; ","")&amp;IF(D13="","Entrada hasta; ","")&amp;IF(E13="","Objetivo; ","")&amp;IF(F13="","Invalida tesis; ","")&amp;IF(G13="","Peso máximo; ","")&amp;IF(H13="","Horizonte; ","")&amp;IF(I13="","Estado; ","")&amp;IF(L13="","Próxima revisión; ",""))</x:f>
      </x:c>
    </x:row>
    <x:row r="14">
      <x:c r="A14" s="119"/>
      <x:c r="B14" s="143"/>
      <x:c r="C14" s="128"/>
      <x:c r="D14" s="128"/>
      <x:c r="E14" s="128"/>
      <x:c r="F14" s="131"/>
      <x:c r="G14" s="139"/>
      <x:c r="H14" s="119"/>
      <x:c r="I14" s="119"/>
      <x:c r="J14" s="141"/>
      <x:c r="K14" s="137"/>
      <x:c r="L14" s="123"/>
      <x:c r="M14" s="121" t="str">
        <x:f>IF(COUNTA(A14:L14)=0,"",IF(N14="","Completo","Falta información"))</x:f>
      </x:c>
      <x:c r="N14" s="133" t="str">
        <x:f>IF(COUNTA(A14:L14)=0,"",IF(A14="","Ticker; ","")&amp;IF(B14="","Tesis; ","")&amp;IF(C14="","Entrada desde; ","")&amp;IF(D14="","Entrada hasta; ","")&amp;IF(E14="","Objetivo; ","")&amp;IF(F14="","Invalida tesis; ","")&amp;IF(G14="","Peso máximo; ","")&amp;IF(H14="","Horizonte; ","")&amp;IF(I14="","Estado; ","")&amp;IF(L14="","Próxima revisión; ",""))</x:f>
      </x:c>
    </x:row>
    <x:row r="15">
      <x:c r="A15" s="119"/>
      <x:c r="B15" s="143"/>
      <x:c r="C15" s="128"/>
      <x:c r="D15" s="128"/>
      <x:c r="E15" s="128"/>
      <x:c r="F15" s="131"/>
      <x:c r="G15" s="139"/>
      <x:c r="H15" s="119"/>
      <x:c r="I15" s="119"/>
      <x:c r="J15" s="141"/>
      <x:c r="K15" s="137"/>
      <x:c r="L15" s="123"/>
      <x:c r="M15" s="121" t="str">
        <x:f>IF(COUNTA(A15:L15)=0,"",IF(N15="","Completo","Falta información"))</x:f>
      </x:c>
      <x:c r="N15" s="133" t="str">
        <x:f>IF(COUNTA(A15:L15)=0,"",IF(A15="","Ticker; ","")&amp;IF(B15="","Tesis; ","")&amp;IF(C15="","Entrada desde; ","")&amp;IF(D15="","Entrada hasta; ","")&amp;IF(E15="","Objetivo; ","")&amp;IF(F15="","Invalida tesis; ","")&amp;IF(G15="","Peso máximo; ","")&amp;IF(H15="","Horizonte; ","")&amp;IF(I15="","Estado; ","")&amp;IF(L15="","Próxima revisión; ",""))</x:f>
      </x:c>
    </x:row>
    <x:row r="16">
      <x:c r="A16" s="119"/>
      <x:c r="B16" s="143"/>
      <x:c r="C16" s="128"/>
      <x:c r="D16" s="128"/>
      <x:c r="E16" s="128"/>
      <x:c r="F16" s="131"/>
      <x:c r="G16" s="139"/>
      <x:c r="H16" s="119"/>
      <x:c r="I16" s="119"/>
      <x:c r="J16" s="141"/>
      <x:c r="K16" s="137"/>
      <x:c r="L16" s="123"/>
      <x:c r="M16" s="121" t="str">
        <x:f>IF(COUNTA(A16:L16)=0,"",IF(N16="","Completo","Falta información"))</x:f>
      </x:c>
      <x:c r="N16" s="133" t="str">
        <x:f>IF(COUNTA(A16:L16)=0,"",IF(A16="","Ticker; ","")&amp;IF(B16="","Tesis; ","")&amp;IF(C16="","Entrada desde; ","")&amp;IF(D16="","Entrada hasta; ","")&amp;IF(E16="","Objetivo; ","")&amp;IF(F16="","Invalida tesis; ","")&amp;IF(G16="","Peso máximo; ","")&amp;IF(H16="","Horizonte; ","")&amp;IF(I16="","Estado; ","")&amp;IF(L16="","Próxima revisión; ",""))</x:f>
      </x:c>
    </x:row>
    <x:row r="17">
      <x:c r="A17" s="119"/>
      <x:c r="B17" s="143"/>
      <x:c r="C17" s="128"/>
      <x:c r="D17" s="128"/>
      <x:c r="E17" s="128"/>
      <x:c r="F17" s="131"/>
      <x:c r="G17" s="139"/>
      <x:c r="H17" s="119"/>
      <x:c r="I17" s="119"/>
      <x:c r="J17" s="141"/>
      <x:c r="K17" s="137"/>
      <x:c r="L17" s="123"/>
      <x:c r="M17" s="121" t="str">
        <x:f>IF(COUNTA(A17:L17)=0,"",IF(N17="","Completo","Falta información"))</x:f>
      </x:c>
      <x:c r="N17" s="133" t="str">
        <x:f>IF(COUNTA(A17:L17)=0,"",IF(A17="","Ticker; ","")&amp;IF(B17="","Tesis; ","")&amp;IF(C17="","Entrada desde; ","")&amp;IF(D17="","Entrada hasta; ","")&amp;IF(E17="","Objetivo; ","")&amp;IF(F17="","Invalida tesis; ","")&amp;IF(G17="","Peso máximo; ","")&amp;IF(H17="","Horizonte; ","")&amp;IF(I17="","Estado; ","")&amp;IF(L17="","Próxima revisión; ",""))</x:f>
      </x:c>
    </x:row>
    <x:row r="18">
      <x:c r="A18" s="119"/>
      <x:c r="B18" s="143"/>
      <x:c r="C18" s="128"/>
      <x:c r="D18" s="128"/>
      <x:c r="E18" s="128"/>
      <x:c r="F18" s="131"/>
      <x:c r="G18" s="139"/>
      <x:c r="H18" s="119"/>
      <x:c r="I18" s="119"/>
      <x:c r="J18" s="141"/>
      <x:c r="K18" s="137"/>
      <x:c r="L18" s="123"/>
      <x:c r="M18" s="121" t="str">
        <x:f>IF(COUNTA(A18:L18)=0,"",IF(N18="","Completo","Falta información"))</x:f>
      </x:c>
      <x:c r="N18" s="133" t="str">
        <x:f>IF(COUNTA(A18:L18)=0,"",IF(A18="","Ticker; ","")&amp;IF(B18="","Tesis; ","")&amp;IF(C18="","Entrada desde; ","")&amp;IF(D18="","Entrada hasta; ","")&amp;IF(E18="","Objetivo; ","")&amp;IF(F18="","Invalida tesis; ","")&amp;IF(G18="","Peso máximo; ","")&amp;IF(H18="","Horizonte; ","")&amp;IF(I18="","Estado; ","")&amp;IF(L18="","Próxima revisión; ",""))</x:f>
      </x:c>
    </x:row>
    <x:row r="19">
      <x:c r="A19" s="119"/>
      <x:c r="B19" s="143"/>
      <x:c r="C19" s="128"/>
      <x:c r="D19" s="128"/>
      <x:c r="E19" s="128"/>
      <x:c r="F19" s="131"/>
      <x:c r="G19" s="139"/>
      <x:c r="H19" s="119"/>
      <x:c r="I19" s="119"/>
      <x:c r="J19" s="141"/>
      <x:c r="K19" s="137"/>
      <x:c r="L19" s="123"/>
      <x:c r="M19" s="121" t="str">
        <x:f>IF(COUNTA(A19:L19)=0,"",IF(N19="","Completo","Falta información"))</x:f>
      </x:c>
      <x:c r="N19" s="133" t="str">
        <x:f>IF(COUNTA(A19:L19)=0,"",IF(A19="","Ticker; ","")&amp;IF(B19="","Tesis; ","")&amp;IF(C19="","Entrada desde; ","")&amp;IF(D19="","Entrada hasta; ","")&amp;IF(E19="","Objetivo; ","")&amp;IF(F19="","Invalida tesis; ","")&amp;IF(G19="","Peso máximo; ","")&amp;IF(H19="","Horizonte; ","")&amp;IF(I19="","Estado; ","")&amp;IF(L19="","Próxima revisión; ",""))</x:f>
      </x:c>
    </x:row>
    <x:row r="20">
      <x:c r="A20" s="119"/>
      <x:c r="B20" s="143"/>
      <x:c r="C20" s="128"/>
      <x:c r="D20" s="128"/>
      <x:c r="E20" s="128"/>
      <x:c r="F20" s="131"/>
      <x:c r="G20" s="139"/>
      <x:c r="H20" s="119"/>
      <x:c r="I20" s="119"/>
      <x:c r="J20" s="141"/>
      <x:c r="K20" s="137"/>
      <x:c r="L20" s="123"/>
      <x:c r="M20" s="121" t="str">
        <x:f>IF(COUNTA(A20:L20)=0,"",IF(N20="","Completo","Falta información"))</x:f>
      </x:c>
      <x:c r="N20" s="133" t="str">
        <x:f>IF(COUNTA(A20:L20)=0,"",IF(A20="","Ticker; ","")&amp;IF(B20="","Tesis; ","")&amp;IF(C20="","Entrada desde; ","")&amp;IF(D20="","Entrada hasta; ","")&amp;IF(E20="","Objetivo; ","")&amp;IF(F20="","Invalida tesis; ","")&amp;IF(G20="","Peso máximo; ","")&amp;IF(H20="","Horizonte; ","")&amp;IF(I20="","Estado; ","")&amp;IF(L20="","Próxima revisión; ",""))</x:f>
      </x:c>
    </x:row>
    <x:row r="21">
      <x:c r="A21" s="119"/>
      <x:c r="B21" s="143"/>
      <x:c r="C21" s="128"/>
      <x:c r="D21" s="128"/>
      <x:c r="E21" s="128"/>
      <x:c r="F21" s="131"/>
      <x:c r="G21" s="139"/>
      <x:c r="H21" s="119"/>
      <x:c r="I21" s="119"/>
      <x:c r="J21" s="141"/>
      <x:c r="K21" s="137"/>
      <x:c r="L21" s="123"/>
      <x:c r="M21" s="121" t="str">
        <x:f>IF(COUNTA(A21:L21)=0,"",IF(N21="","Completo","Falta información"))</x:f>
      </x:c>
      <x:c r="N21" s="133" t="str">
        <x:f>IF(COUNTA(A21:L21)=0,"",IF(A21="","Ticker; ","")&amp;IF(B21="","Tesis; ","")&amp;IF(C21="","Entrada desde; ","")&amp;IF(D21="","Entrada hasta; ","")&amp;IF(E21="","Objetivo; ","")&amp;IF(F21="","Invalida tesis; ","")&amp;IF(G21="","Peso máximo; ","")&amp;IF(H21="","Horizonte; ","")&amp;IF(I21="","Estado; ","")&amp;IF(L21="","Próxima revisión; ",""))</x:f>
      </x:c>
    </x:row>
    <x:row r="22">
      <x:c r="A22" s="119"/>
      <x:c r="B22" s="143"/>
      <x:c r="C22" s="128"/>
      <x:c r="D22" s="128"/>
      <x:c r="E22" s="128"/>
      <x:c r="F22" s="131"/>
      <x:c r="G22" s="139"/>
      <x:c r="H22" s="119"/>
      <x:c r="I22" s="119"/>
      <x:c r="J22" s="141"/>
      <x:c r="K22" s="137"/>
      <x:c r="L22" s="123"/>
      <x:c r="M22" s="121" t="str">
        <x:f>IF(COUNTA(A22:L22)=0,"",IF(N22="","Completo","Falta información"))</x:f>
      </x:c>
      <x:c r="N22" s="133" t="str">
        <x:f>IF(COUNTA(A22:L22)=0,"",IF(A22="","Ticker; ","")&amp;IF(B22="","Tesis; ","")&amp;IF(C22="","Entrada desde; ","")&amp;IF(D22="","Entrada hasta; ","")&amp;IF(E22="","Objetivo; ","")&amp;IF(F22="","Invalida tesis; ","")&amp;IF(G22="","Peso máximo; ","")&amp;IF(H22="","Horizonte; ","")&amp;IF(I22="","Estado; ","")&amp;IF(L22="","Próxima revisión; ",""))</x:f>
      </x:c>
    </x:row>
    <x:row r="23">
      <x:c r="A23" s="119"/>
      <x:c r="B23" s="143"/>
      <x:c r="C23" s="128"/>
      <x:c r="D23" s="128"/>
      <x:c r="E23" s="128"/>
      <x:c r="F23" s="131"/>
      <x:c r="G23" s="139"/>
      <x:c r="H23" s="119"/>
      <x:c r="I23" s="119"/>
      <x:c r="J23" s="141"/>
      <x:c r="K23" s="137"/>
      <x:c r="L23" s="123"/>
      <x:c r="M23" s="121" t="str">
        <x:f>IF(COUNTA(A23:L23)=0,"",IF(N23="","Completo","Falta información"))</x:f>
      </x:c>
      <x:c r="N23" s="133" t="str">
        <x:f>IF(COUNTA(A23:L23)=0,"",IF(A23="","Ticker; ","")&amp;IF(B23="","Tesis; ","")&amp;IF(C23="","Entrada desde; ","")&amp;IF(D23="","Entrada hasta; ","")&amp;IF(E23="","Objetivo; ","")&amp;IF(F23="","Invalida tesis; ","")&amp;IF(G23="","Peso máximo; ","")&amp;IF(H23="","Horizonte; ","")&amp;IF(I23="","Estado; ","")&amp;IF(L23="","Próxima revisión; ",""))</x:f>
      </x:c>
    </x:row>
    <x:row r="24">
      <x:c r="A24" s="119"/>
      <x:c r="B24" s="143"/>
      <x:c r="C24" s="128"/>
      <x:c r="D24" s="128"/>
      <x:c r="E24" s="128"/>
      <x:c r="F24" s="131"/>
      <x:c r="G24" s="139"/>
      <x:c r="H24" s="119"/>
      <x:c r="I24" s="119"/>
      <x:c r="J24" s="141"/>
      <x:c r="K24" s="137"/>
      <x:c r="L24" s="123"/>
      <x:c r="M24" s="121" t="str">
        <x:f>IF(COUNTA(A24:L24)=0,"",IF(N24="","Completo","Falta información"))</x:f>
      </x:c>
      <x:c r="N24" s="133" t="str">
        <x:f>IF(COUNTA(A24:L24)=0,"",IF(A24="","Ticker; ","")&amp;IF(B24="","Tesis; ","")&amp;IF(C24="","Entrada desde; ","")&amp;IF(D24="","Entrada hasta; ","")&amp;IF(E24="","Objetivo; ","")&amp;IF(F24="","Invalida tesis; ","")&amp;IF(G24="","Peso máximo; ","")&amp;IF(H24="","Horizonte; ","")&amp;IF(I24="","Estado; ","")&amp;IF(L24="","Próxima revisión; ",""))</x:f>
      </x:c>
    </x:row>
    <x:row r="25">
      <x:c r="A25" s="119"/>
      <x:c r="B25" s="143"/>
      <x:c r="C25" s="128"/>
      <x:c r="D25" s="128"/>
      <x:c r="E25" s="128"/>
      <x:c r="F25" s="131"/>
      <x:c r="G25" s="139"/>
      <x:c r="H25" s="119"/>
      <x:c r="I25" s="119"/>
      <x:c r="J25" s="141"/>
      <x:c r="K25" s="137"/>
      <x:c r="L25" s="123"/>
      <x:c r="M25" s="121" t="str">
        <x:f>IF(COUNTA(A25:L25)=0,"",IF(N25="","Completo","Falta información"))</x:f>
      </x:c>
      <x:c r="N25" s="133" t="str">
        <x:f>IF(COUNTA(A25:L25)=0,"",IF(A25="","Ticker; ","")&amp;IF(B25="","Tesis; ","")&amp;IF(C25="","Entrada desde; ","")&amp;IF(D25="","Entrada hasta; ","")&amp;IF(E25="","Objetivo; ","")&amp;IF(F25="","Invalida tesis; ","")&amp;IF(G25="","Peso máximo; ","")&amp;IF(H25="","Horizonte; ","")&amp;IF(I25="","Estado; ","")&amp;IF(L25="","Próxima revisión; ",""))</x:f>
      </x:c>
    </x:row>
  </x:sheetData>
  <x:mergeCells>
    <x:mergeCell ref="A1:N1"/>
    <x:mergeCell ref="A2:N3"/>
  </x:mergeCells>
  <x:conditionalFormatting sqref="M6:M25">
    <x:cfRule type="containsText" dxfId="12" priority="1" operator="containsText" text="Falta información"/>
    <x:cfRule type="containsText" dxfId="13" priority="2" operator="containsText" text="Completo"/>
  </x:conditionalFormatting>
  <x:conditionalFormatting sqref="A6:A25">
    <x:cfRule type="expression" dxfId="14" priority="3">
      <x:formula>AND(COUNTA($A6:$L6)&gt;0,$A6="")</x:formula>
    </x:cfRule>
  </x:conditionalFormatting>
  <x:conditionalFormatting sqref="B6:B25">
    <x:cfRule type="expression" dxfId="15" priority="4">
      <x:formula>AND(COUNTA($A6:$L6)&gt;0,$B6="")</x:formula>
    </x:cfRule>
  </x:conditionalFormatting>
  <x:conditionalFormatting sqref="C6:C25">
    <x:cfRule type="expression" dxfId="16" priority="5">
      <x:formula>AND(COUNTA($A6:$L6)&gt;0,$C6="")</x:formula>
    </x:cfRule>
  </x:conditionalFormatting>
  <x:conditionalFormatting sqref="D6:D25">
    <x:cfRule type="expression" dxfId="17" priority="6">
      <x:formula>AND(COUNTA($A6:$L6)&gt;0,$D6="")</x:formula>
    </x:cfRule>
  </x:conditionalFormatting>
  <x:conditionalFormatting sqref="E6:E25">
    <x:cfRule type="expression" dxfId="18" priority="7">
      <x:formula>AND(COUNTA($A6:$L6)&gt;0,$E6="")</x:formula>
    </x:cfRule>
  </x:conditionalFormatting>
  <x:conditionalFormatting sqref="F6:F25">
    <x:cfRule type="expression" dxfId="19" priority="8">
      <x:formula>AND(COUNTA($A6:$L6)&gt;0,$F6="")</x:formula>
    </x:cfRule>
  </x:conditionalFormatting>
  <x:conditionalFormatting sqref="G6:G25">
    <x:cfRule type="expression" dxfId="20" priority="9">
      <x:formula>AND(COUNTA($A6:$L6)&gt;0,$G6="")</x:formula>
    </x:cfRule>
  </x:conditionalFormatting>
  <x:conditionalFormatting sqref="H6:H25">
    <x:cfRule type="expression" dxfId="21" priority="10">
      <x:formula>AND(COUNTA($A6:$L6)&gt;0,$H6="")</x:formula>
    </x:cfRule>
  </x:conditionalFormatting>
  <x:conditionalFormatting sqref="I6:I25">
    <x:cfRule type="expression" dxfId="22" priority="11">
      <x:formula>AND(COUNTA($A6:$L6)&gt;0,$I6="")</x:formula>
    </x:cfRule>
  </x:conditionalFormatting>
  <x:conditionalFormatting sqref="L6:L25">
    <x:cfRule type="expression" dxfId="23" priority="12">
      <x:formula>AND(COUNTA($A6:$L6)&gt;0,$L6="")</x:formula>
    </x:cfRule>
  </x:conditionalFormatting>
  <x:dataValidations count="2">
    <x:dataValidation type="list" sqref="H6:H25">
      <x:formula1>"Corto plazo,Mediano plazo,Largo plazo"</x:formula1>
    </x:dataValidation>
    <x:dataValidation type="list" sqref="I6:I25">
      <x:formula1>"En seguimiento,En posición,Pausada,Cerrada"</x:formula1>
    </x:dataValidation>
  </x:dataValidations>
  <x:pageMargins left="0.7" right="0.7" top="0.75" bottom="0.75" header="0.3" footer="0.3"/>
  <x:legacyDrawing xmlns:r="http://schemas.openxmlformats.org/officeDocument/2006/relationships" r:id="R8aa94e7ce42c409b"/>
  <x:tableParts count="1">
    <x:tablePart xmlns:r="http://schemas.openxmlformats.org/officeDocument/2006/relationships" r:id="R9f4b82ca55f5439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8" hidden="0" customWidth="1"/>
    <x:col min="3" max="3" width="17" hidden="0" customWidth="1"/>
    <x:col min="4" max="4" width="18" hidden="0" customWidth="1"/>
    <x:col min="5" max="5" width="17" hidden="0" customWidth="1"/>
    <x:col min="6" max="6" width="17" hidden="0" customWidth="1"/>
    <x:col min="7" max="7" width="13" hidden="0" customWidth="1"/>
    <x:col min="8" max="8" width="14" hidden="0" customWidth="1"/>
    <x:col min="9" max="9" width="18" hidden="0" customWidth="1"/>
    <x:col min="10" max="10" width="34" hidden="0" customWidth="1"/>
  </x:cols>
  <x:sheetData>
    <x:row r="1" ht="34" customHeight="1">
      <x:c r="A1" s="3" t="str">
        <x:v>Objetivos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8" customHeight="1">
      <x:c r="A2" s="7" t="str">
        <x:v>Metas medibles. Para que el agente pueda evaluar el progreso necesita objetivo, tipo, fecha límite, monto objetivo, monto actual y prioridad.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3" ht="12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</x:row>
    <x:row r="5" ht="34" customHeight="1">
      <x:c r="A5" s="110" t="str">
        <x:v>Objetivo*</x:v>
      </x:c>
      <x:c r="B5" s="111" t="str">
        <x:v>Tipo*</x:v>
      </x:c>
      <x:c r="C5" s="111" t="str">
        <x:v>Fecha límite*</x:v>
      </x:c>
      <x:c r="D5" s="111" t="str">
        <x:v>Monto objetivo*</x:v>
      </x:c>
      <x:c r="E5" s="111" t="str">
        <x:v>Monto actual*</x:v>
      </x:c>
      <x:c r="F5" s="111" t="str">
        <x:v>Aporte mensual</x:v>
      </x:c>
      <x:c r="G5" s="111" t="str">
        <x:v>Prioridad*</x:v>
      </x:c>
      <x:c r="H5" s="111" t="str">
        <x:v>Progreso</x:v>
      </x:c>
      <x:c r="I5" s="111" t="str">
        <x:v>Estado</x:v>
      </x:c>
      <x:c r="J5" s="112" t="str">
        <x:v>Datos faltantes</x:v>
      </x:c>
    </x:row>
    <x:row r="6">
      <x:c r="A6" s="142" t="str">
        <x:v>Capital de inversión 2030</x:v>
      </x:c>
      <x:c r="B6" s="118" t="str">
        <x:v>Capital</x:v>
      </x:c>
      <x:c r="C6" s="122" t="n">
        <x:v>47848.5</x:v>
      </x:c>
      <x:c r="D6" s="126" t="n">
        <x:v>50000</x:v>
      </x:c>
      <x:c r="E6" s="126" t="n">
        <x:v>12000</x:v>
      </x:c>
      <x:c r="F6" s="126" t="n">
        <x:v>500</x:v>
      </x:c>
      <x:c r="G6" s="118" t="str">
        <x:v>Alta</x:v>
      </x:c>
      <x:c r="H6" s="144" t="n">
        <x:f>IF(OR(D6="",E6="",D6=0),"",E6/D6)</x:f>
        <x:v>0.24</x:v>
      </x:c>
      <x:c r="I6" s="120" t="str">
        <x:f>IF(COUNTA(A6:G6)=0,"",IF(J6="","Completo","Falta información"))</x:f>
        <x:v>Completo</x:v>
      </x:c>
      <x:c r="J6" s="132" t="str">
        <x:f>IF(COUNTA(A6:G6)=0,"",IF(A6="","Objetivo; ","")&amp;IF(B6="","Tipo; ","")&amp;IF(C6="","Fecha límite; ","")&amp;IF(D6="","Monto objetivo; ","")&amp;IF(E6="","Monto actual; ","")&amp;IF(G6="","Prioridad; ",""))</x:f>
      </x:c>
    </x:row>
    <x:row r="7">
      <x:c r="A7" s="143" t="str">
        <x:v>Fondo para oportunidades</x:v>
      </x:c>
      <x:c r="B7" s="119" t="str">
        <x:v>Reserva</x:v>
      </x:c>
      <x:c r="C7" s="123"/>
      <x:c r="D7" s="128" t="n">
        <x:v>5000</x:v>
      </x:c>
      <x:c r="E7" s="128" t="n">
        <x:v>1200</x:v>
      </x:c>
      <x:c r="F7" s="128" t="n">
        <x:v>200</x:v>
      </x:c>
      <x:c r="G7" s="119" t="str">
        <x:v>Media</x:v>
      </x:c>
      <x:c r="H7" s="145" t="n">
        <x:f>IF(OR(D7="",E7="",D7=0),"",E7/D7)</x:f>
        <x:v>0.24</x:v>
      </x:c>
      <x:c r="I7" s="121" t="str">
        <x:f>IF(COUNTA(A7:G7)=0,"",IF(J7="","Completo","Falta información"))</x:f>
        <x:v>Falta información</x:v>
      </x:c>
      <x:c r="J7" s="133" t="str">
        <x:f>IF(COUNTA(A7:G7)=0,"",IF(A7="","Objetivo; ","")&amp;IF(B7="","Tipo; ","")&amp;IF(C7="","Fecha límite; ","")&amp;IF(D7="","Monto objetivo; ","")&amp;IF(E7="","Monto actual; ","")&amp;IF(G7="","Prioridad; ",""))</x:f>
        <x:v>Fecha límite; </x:v>
      </x:c>
    </x:row>
    <x:row r="8">
      <x:c r="A8" s="143"/>
      <x:c r="B8" s="119"/>
      <x:c r="C8" s="123"/>
      <x:c r="D8" s="128"/>
      <x:c r="E8" s="128"/>
      <x:c r="F8" s="128"/>
      <x:c r="G8" s="119"/>
      <x:c r="H8" s="145" t="str">
        <x:f>IF(OR(D8="",E8="",D8=0),"",E8/D8)</x:f>
      </x:c>
      <x:c r="I8" s="121" t="str">
        <x:f>IF(COUNTA(A8:G8)=0,"",IF(J8="","Completo","Falta información"))</x:f>
      </x:c>
      <x:c r="J8" s="133" t="str">
        <x:f>IF(COUNTA(A8:G8)=0,"",IF(A8="","Objetivo; ","")&amp;IF(B8="","Tipo; ","")&amp;IF(C8="","Fecha límite; ","")&amp;IF(D8="","Monto objetivo; ","")&amp;IF(E8="","Monto actual; ","")&amp;IF(G8="","Prioridad; ",""))</x:f>
      </x:c>
    </x:row>
    <x:row r="9">
      <x:c r="A9" s="143"/>
      <x:c r="B9" s="119"/>
      <x:c r="C9" s="123"/>
      <x:c r="D9" s="128"/>
      <x:c r="E9" s="128"/>
      <x:c r="F9" s="128"/>
      <x:c r="G9" s="119"/>
      <x:c r="H9" s="145" t="str">
        <x:f>IF(OR(D9="",E9="",D9=0),"",E9/D9)</x:f>
      </x:c>
      <x:c r="I9" s="121" t="str">
        <x:f>IF(COUNTA(A9:G9)=0,"",IF(J9="","Completo","Falta información"))</x:f>
      </x:c>
      <x:c r="J9" s="133" t="str">
        <x:f>IF(COUNTA(A9:G9)=0,"",IF(A9="","Objetivo; ","")&amp;IF(B9="","Tipo; ","")&amp;IF(C9="","Fecha límite; ","")&amp;IF(D9="","Monto objetivo; ","")&amp;IF(E9="","Monto actual; ","")&amp;IF(G9="","Prioridad; ",""))</x:f>
      </x:c>
    </x:row>
    <x:row r="10">
      <x:c r="A10" s="143"/>
      <x:c r="B10" s="119"/>
      <x:c r="C10" s="123"/>
      <x:c r="D10" s="128"/>
      <x:c r="E10" s="128"/>
      <x:c r="F10" s="128"/>
      <x:c r="G10" s="119"/>
      <x:c r="H10" s="145" t="str">
        <x:f>IF(OR(D10="",E10="",D10=0),"",E10/D10)</x:f>
      </x:c>
      <x:c r="I10" s="121" t="str">
        <x:f>IF(COUNTA(A10:G10)=0,"",IF(J10="","Completo","Falta información"))</x:f>
      </x:c>
      <x:c r="J10" s="133" t="str">
        <x:f>IF(COUNTA(A10:G10)=0,"",IF(A10="","Objetivo; ","")&amp;IF(B10="","Tipo; ","")&amp;IF(C10="","Fecha límite; ","")&amp;IF(D10="","Monto objetivo; ","")&amp;IF(E10="","Monto actual; ","")&amp;IF(G10="","Prioridad; ",""))</x:f>
      </x:c>
    </x:row>
    <x:row r="11">
      <x:c r="A11" s="143"/>
      <x:c r="B11" s="119"/>
      <x:c r="C11" s="123"/>
      <x:c r="D11" s="128"/>
      <x:c r="E11" s="128"/>
      <x:c r="F11" s="128"/>
      <x:c r="G11" s="119"/>
      <x:c r="H11" s="145" t="str">
        <x:f>IF(OR(D11="",E11="",D11=0),"",E11/D11)</x:f>
      </x:c>
      <x:c r="I11" s="121" t="str">
        <x:f>IF(COUNTA(A11:G11)=0,"",IF(J11="","Completo","Falta información"))</x:f>
      </x:c>
      <x:c r="J11" s="133" t="str">
        <x:f>IF(COUNTA(A11:G11)=0,"",IF(A11="","Objetivo; ","")&amp;IF(B11="","Tipo; ","")&amp;IF(C11="","Fecha límite; ","")&amp;IF(D11="","Monto objetivo; ","")&amp;IF(E11="","Monto actual; ","")&amp;IF(G11="","Prioridad; ",""))</x:f>
      </x:c>
    </x:row>
    <x:row r="12">
      <x:c r="A12" s="143"/>
      <x:c r="B12" s="119"/>
      <x:c r="C12" s="123"/>
      <x:c r="D12" s="128"/>
      <x:c r="E12" s="128"/>
      <x:c r="F12" s="128"/>
      <x:c r="G12" s="119"/>
      <x:c r="H12" s="145" t="str">
        <x:f>IF(OR(D12="",E12="",D12=0),"",E12/D12)</x:f>
      </x:c>
      <x:c r="I12" s="121" t="str">
        <x:f>IF(COUNTA(A12:G12)=0,"",IF(J12="","Completo","Falta información"))</x:f>
      </x:c>
      <x:c r="J12" s="133" t="str">
        <x:f>IF(COUNTA(A12:G12)=0,"",IF(A12="","Objetivo; ","")&amp;IF(B12="","Tipo; ","")&amp;IF(C12="","Fecha límite; ","")&amp;IF(D12="","Monto objetivo; ","")&amp;IF(E12="","Monto actual; ","")&amp;IF(G12="","Prioridad; ",""))</x:f>
      </x:c>
    </x:row>
    <x:row r="13">
      <x:c r="A13" s="143"/>
      <x:c r="B13" s="119"/>
      <x:c r="C13" s="123"/>
      <x:c r="D13" s="128"/>
      <x:c r="E13" s="128"/>
      <x:c r="F13" s="128"/>
      <x:c r="G13" s="119"/>
      <x:c r="H13" s="145" t="str">
        <x:f>IF(OR(D13="",E13="",D13=0),"",E13/D13)</x:f>
      </x:c>
      <x:c r="I13" s="121" t="str">
        <x:f>IF(COUNTA(A13:G13)=0,"",IF(J13="","Completo","Falta información"))</x:f>
      </x:c>
      <x:c r="J13" s="133" t="str">
        <x:f>IF(COUNTA(A13:G13)=0,"",IF(A13="","Objetivo; ","")&amp;IF(B13="","Tipo; ","")&amp;IF(C13="","Fecha límite; ","")&amp;IF(D13="","Monto objetivo; ","")&amp;IF(E13="","Monto actual; ","")&amp;IF(G13="","Prioridad; ",""))</x:f>
      </x:c>
    </x:row>
    <x:row r="14">
      <x:c r="A14" s="143"/>
      <x:c r="B14" s="119"/>
      <x:c r="C14" s="123"/>
      <x:c r="D14" s="128"/>
      <x:c r="E14" s="128"/>
      <x:c r="F14" s="128"/>
      <x:c r="G14" s="119"/>
      <x:c r="H14" s="145" t="str">
        <x:f>IF(OR(D14="",E14="",D14=0),"",E14/D14)</x:f>
      </x:c>
      <x:c r="I14" s="121" t="str">
        <x:f>IF(COUNTA(A14:G14)=0,"",IF(J14="","Completo","Falta información"))</x:f>
      </x:c>
      <x:c r="J14" s="133" t="str">
        <x:f>IF(COUNTA(A14:G14)=0,"",IF(A14="","Objetivo; ","")&amp;IF(B14="","Tipo; ","")&amp;IF(C14="","Fecha límite; ","")&amp;IF(D14="","Monto objetivo; ","")&amp;IF(E14="","Monto actual; ","")&amp;IF(G14="","Prioridad; ",""))</x:f>
      </x:c>
    </x:row>
    <x:row r="15">
      <x:c r="A15" s="143"/>
      <x:c r="B15" s="119"/>
      <x:c r="C15" s="123"/>
      <x:c r="D15" s="128"/>
      <x:c r="E15" s="128"/>
      <x:c r="F15" s="128"/>
      <x:c r="G15" s="119"/>
      <x:c r="H15" s="145" t="str">
        <x:f>IF(OR(D15="",E15="",D15=0),"",E15/D15)</x:f>
      </x:c>
      <x:c r="I15" s="121" t="str">
        <x:f>IF(COUNTA(A15:G15)=0,"",IF(J15="","Completo","Falta información"))</x:f>
      </x:c>
      <x:c r="J15" s="133" t="str">
        <x:f>IF(COUNTA(A15:G15)=0,"",IF(A15="","Objetivo; ","")&amp;IF(B15="","Tipo; ","")&amp;IF(C15="","Fecha límite; ","")&amp;IF(D15="","Monto objetivo; ","")&amp;IF(E15="","Monto actual; ","")&amp;IF(G15="","Prioridad; ",""))</x:f>
      </x:c>
    </x:row>
    <x:row r="16">
      <x:c r="A16" s="143"/>
      <x:c r="B16" s="119"/>
      <x:c r="C16" s="123"/>
      <x:c r="D16" s="128"/>
      <x:c r="E16" s="128"/>
      <x:c r="F16" s="128"/>
      <x:c r="G16" s="119"/>
      <x:c r="H16" s="145" t="str">
        <x:f>IF(OR(D16="",E16="",D16=0),"",E16/D16)</x:f>
      </x:c>
      <x:c r="I16" s="121" t="str">
        <x:f>IF(COUNTA(A16:G16)=0,"",IF(J16="","Completo","Falta información"))</x:f>
      </x:c>
      <x:c r="J16" s="133" t="str">
        <x:f>IF(COUNTA(A16:G16)=0,"",IF(A16="","Objetivo; ","")&amp;IF(B16="","Tipo; ","")&amp;IF(C16="","Fecha límite; ","")&amp;IF(D16="","Monto objetivo; ","")&amp;IF(E16="","Monto actual; ","")&amp;IF(G16="","Prioridad; ",""))</x:f>
      </x:c>
    </x:row>
    <x:row r="17">
      <x:c r="A17" s="143"/>
      <x:c r="B17" s="119"/>
      <x:c r="C17" s="123"/>
      <x:c r="D17" s="128"/>
      <x:c r="E17" s="128"/>
      <x:c r="F17" s="128"/>
      <x:c r="G17" s="119"/>
      <x:c r="H17" s="145" t="str">
        <x:f>IF(OR(D17="",E17="",D17=0),"",E17/D17)</x:f>
      </x:c>
      <x:c r="I17" s="121" t="str">
        <x:f>IF(COUNTA(A17:G17)=0,"",IF(J17="","Completo","Falta información"))</x:f>
      </x:c>
      <x:c r="J17" s="133" t="str">
        <x:f>IF(COUNTA(A17:G17)=0,"",IF(A17="","Objetivo; ","")&amp;IF(B17="","Tipo; ","")&amp;IF(C17="","Fecha límite; ","")&amp;IF(D17="","Monto objetivo; ","")&amp;IF(E17="","Monto actual; ","")&amp;IF(G17="","Prioridad; ",""))</x:f>
      </x:c>
    </x:row>
    <x:row r="18">
      <x:c r="A18" s="143"/>
      <x:c r="B18" s="119"/>
      <x:c r="C18" s="123"/>
      <x:c r="D18" s="128"/>
      <x:c r="E18" s="128"/>
      <x:c r="F18" s="128"/>
      <x:c r="G18" s="119"/>
      <x:c r="H18" s="145" t="str">
        <x:f>IF(OR(D18="",E18="",D18=0),"",E18/D18)</x:f>
      </x:c>
      <x:c r="I18" s="121" t="str">
        <x:f>IF(COUNTA(A18:G18)=0,"",IF(J18="","Completo","Falta información"))</x:f>
      </x:c>
      <x:c r="J18" s="133" t="str">
        <x:f>IF(COUNTA(A18:G18)=0,"",IF(A18="","Objetivo; ","")&amp;IF(B18="","Tipo; ","")&amp;IF(C18="","Fecha límite; ","")&amp;IF(D18="","Monto objetivo; ","")&amp;IF(E18="","Monto actual; ","")&amp;IF(G18="","Prioridad; ",""))</x:f>
      </x:c>
    </x:row>
    <x:row r="19">
      <x:c r="A19" s="143"/>
      <x:c r="B19" s="119"/>
      <x:c r="C19" s="123"/>
      <x:c r="D19" s="128"/>
      <x:c r="E19" s="128"/>
      <x:c r="F19" s="128"/>
      <x:c r="G19" s="119"/>
      <x:c r="H19" s="145" t="str">
        <x:f>IF(OR(D19="",E19="",D19=0),"",E19/D19)</x:f>
      </x:c>
      <x:c r="I19" s="121" t="str">
        <x:f>IF(COUNTA(A19:G19)=0,"",IF(J19="","Completo","Falta información"))</x:f>
      </x:c>
      <x:c r="J19" s="133" t="str">
        <x:f>IF(COUNTA(A19:G19)=0,"",IF(A19="","Objetivo; ","")&amp;IF(B19="","Tipo; ","")&amp;IF(C19="","Fecha límite; ","")&amp;IF(D19="","Monto objetivo; ","")&amp;IF(E19="","Monto actual; ","")&amp;IF(G19="","Prioridad; ",""))</x:f>
      </x:c>
    </x:row>
    <x:row r="20">
      <x:c r="A20" s="143"/>
      <x:c r="B20" s="119"/>
      <x:c r="C20" s="123"/>
      <x:c r="D20" s="128"/>
      <x:c r="E20" s="128"/>
      <x:c r="F20" s="128"/>
      <x:c r="G20" s="119"/>
      <x:c r="H20" s="145" t="str">
        <x:f>IF(OR(D20="",E20="",D20=0),"",E20/D20)</x:f>
      </x:c>
      <x:c r="I20" s="121" t="str">
        <x:f>IF(COUNTA(A20:G20)=0,"",IF(J20="","Completo","Falta información"))</x:f>
      </x:c>
      <x:c r="J20" s="133" t="str">
        <x:f>IF(COUNTA(A20:G20)=0,"",IF(A20="","Objetivo; ","")&amp;IF(B20="","Tipo; ","")&amp;IF(C20="","Fecha límite; ","")&amp;IF(D20="","Monto objetivo; ","")&amp;IF(E20="","Monto actual; ","")&amp;IF(G20="","Prioridad; ",""))</x:f>
      </x:c>
    </x:row>
  </x:sheetData>
  <x:mergeCells>
    <x:mergeCell ref="A1:J1"/>
    <x:mergeCell ref="A2:J3"/>
  </x:mergeCells>
  <x:conditionalFormatting sqref="I6:I20">
    <x:cfRule type="containsText" dxfId="24" priority="1" operator="containsText" text="Falta información"/>
    <x:cfRule type="containsText" dxfId="25" priority="2" operator="containsText" text="Completo"/>
  </x:conditionalFormatting>
  <x:conditionalFormatting sqref="A6:A20">
    <x:cfRule type="expression" dxfId="26" priority="3">
      <x:formula>AND(COUNTA($A6:$G6)&gt;0,$A6="")</x:formula>
    </x:cfRule>
  </x:conditionalFormatting>
  <x:conditionalFormatting sqref="B6:B20">
    <x:cfRule type="expression" dxfId="27" priority="4">
      <x:formula>AND(COUNTA($A6:$G6)&gt;0,$B6="")</x:formula>
    </x:cfRule>
  </x:conditionalFormatting>
  <x:conditionalFormatting sqref="C6:C20">
    <x:cfRule type="expression" dxfId="28" priority="5">
      <x:formula>AND(COUNTA($A6:$G6)&gt;0,$C6="")</x:formula>
    </x:cfRule>
  </x:conditionalFormatting>
  <x:conditionalFormatting sqref="D6:D20">
    <x:cfRule type="expression" dxfId="29" priority="6">
      <x:formula>AND(COUNTA($A6:$G6)&gt;0,$D6="")</x:formula>
    </x:cfRule>
  </x:conditionalFormatting>
  <x:conditionalFormatting sqref="E6:E20">
    <x:cfRule type="expression" dxfId="30" priority="7">
      <x:formula>AND(COUNTA($A6:$G6)&gt;0,$E6="")</x:formula>
    </x:cfRule>
  </x:conditionalFormatting>
  <x:conditionalFormatting sqref="G6:G20">
    <x:cfRule type="expression" dxfId="31" priority="8">
      <x:formula>AND(COUNTA($A6:$G6)&gt;0,$G6="")</x:formula>
    </x:cfRule>
  </x:conditionalFormatting>
  <x:dataValidations count="2">
    <x:dataValidation type="list" sqref="B6:B20">
      <x:formula1>"Capital,Reserva,Ahorro mensual,Renta pasiva,Distribución"</x:formula1>
    </x:dataValidation>
    <x:dataValidation type="list" sqref="G6:G20">
      <x:formula1>"Alta,Media,Baja"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ee5d79142df4e7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31" hidden="0" customWidth="1"/>
    <x:col min="3" max="3" width="18" hidden="0" customWidth="1"/>
    <x:col min="4" max="4" width="15" hidden="0" customWidth="1"/>
    <x:col min="5" max="5" width="15" hidden="0" customWidth="1"/>
    <x:col min="6" max="6" width="17" hidden="0" customWidth="1"/>
    <x:col min="7" max="7" width="14" hidden="0" customWidth="1"/>
    <x:col min="8" max="8" width="16" hidden="0" customWidth="1"/>
    <x:col min="9" max="9" width="19" hidden="0" customWidth="1"/>
    <x:col min="10" max="10" width="18" hidden="0" customWidth="1"/>
    <x:col min="11" max="11" width="18" hidden="0" customWidth="1"/>
    <x:col min="12" max="12" width="17" hidden="0" customWidth="1"/>
    <x:col min="13" max="13" width="18" hidden="0" customWidth="1"/>
    <x:col min="14" max="14" width="32" hidden="0" customWidth="1"/>
  </x:cols>
  <x:sheetData>
    <x:row r="1" ht="34" customHeight="1">
      <x:c r="A1" s="3" t="str">
        <x:v>Watchlist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8" customHeight="1">
      <x:c r="A2" s="7" t="str">
        <x:v>Empresas que querés seguir. Vos indicás por qué te interesa y tu zona de entrada; el agente completa métricas, consenso y puntuaciones con fecha y fuentes.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 ht="12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</x:row>
    <x:row r="5" ht="34" customHeight="1">
      <x:c r="A5" s="110" t="str">
        <x:v>Ticker*</x:v>
      </x:c>
      <x:c r="B5" s="111" t="str">
        <x:v>Motivo*</x:v>
      </x:c>
      <x:c r="C5" s="111" t="str">
        <x:v>Sector (agente)</x:v>
      </x:c>
      <x:c r="D5" s="111" t="str">
        <x:v>Entrada desde*</x:v>
      </x:c>
      <x:c r="E5" s="111" t="str">
        <x:v>Entrada hasta*</x:v>
      </x:c>
      <x:c r="F5" s="111" t="str">
        <x:v>Precio actual (agente)</x:v>
      </x:c>
      <x:c r="G5" s="111" t="str">
        <x:v>P/E (agente)</x:v>
      </x:c>
      <x:c r="H5" s="111" t="str">
        <x:v>FCF yield (agente)</x:v>
      </x:c>
      <x:c r="I5" s="111" t="str">
        <x:v>Consenso (agente)</x:v>
      </x:c>
      <x:c r="J5" s="111" t="str">
        <x:v>Calidad 0-100 (agente)</x:v>
      </x:c>
      <x:c r="K5" s="111" t="str">
        <x:v>Valor 0-100 (agente)</x:v>
      </x:c>
      <x:c r="L5" s="111" t="str">
        <x:v>Próxima revisión*</x:v>
      </x:c>
      <x:c r="M5" s="111" t="str">
        <x:v>Estado</x:v>
      </x:c>
      <x:c r="N5" s="112" t="str">
        <x:v>Datos faltantes</x:v>
      </x:c>
    </x:row>
    <x:row r="6">
      <x:c r="A6" s="118" t="str">
        <x:v>GOOGL</x:v>
      </x:c>
      <x:c r="B6" s="142" t="str">
        <x:v>Calidad y crecimiento de cloud/IA</x:v>
      </x:c>
      <x:c r="C6" s="136" t="str">
        <x:v>Tecnología</x:v>
      </x:c>
      <x:c r="D6" s="126" t="n">
        <x:v>150</x:v>
      </x:c>
      <x:c r="E6" s="126" t="n">
        <x:v>165</x:v>
      </x:c>
      <x:c r="F6" s="140" t="n">
        <x:v>170</x:v>
      </x:c>
      <x:c r="G6" s="146" t="n">
        <x:v>21.5</x:v>
      </x:c>
      <x:c r="H6" s="148" t="n">
        <x:v>0.045</x:v>
      </x:c>
      <x:c r="I6" s="136" t="str">
        <x:v>Comprar</x:v>
      </x:c>
      <x:c r="J6" s="150" t="n">
        <x:v>88</x:v>
      </x:c>
      <x:c r="K6" s="150" t="n">
        <x:v>72</x:v>
      </x:c>
      <x:c r="L6" s="122" t="n">
        <x:v>46275.5</x:v>
      </x:c>
      <x:c r="M6" s="120" t="str">
        <x:f>IF(COUNTA(A6:L6)=0,"",IF(N6="","Completo","Falta información"))</x:f>
        <x:v>Completo</x:v>
      </x:c>
      <x:c r="N6" s="132" t="str">
        <x:f>IF(COUNTA(A6:L6)=0,"",IF(A6="","Ticker; ","")&amp;IF(B6="","Motivo; ","")&amp;IF(D6="","Entrada desde; ","")&amp;IF(E6="","Entrada hasta; ","")&amp;IF(L6="","Próxima revisión; ",""))</x:f>
      </x:c>
    </x:row>
    <x:row r="7">
      <x:c r="A7" s="119" t="str">
        <x:v>NU</x:v>
      </x:c>
      <x:c r="B7" s="143" t="str">
        <x:v>Crecimiento de banca digital en LatAm</x:v>
      </x:c>
      <x:c r="C7" s="137" t="str">
        <x:v>Finanzas</x:v>
      </x:c>
      <x:c r="D7" s="128" t="n">
        <x:v>10</x:v>
      </x:c>
      <x:c r="E7" s="128"/>
      <x:c r="F7" s="141" t="n">
        <x:v>12</x:v>
      </x:c>
      <x:c r="G7" s="147" t="n">
        <x:v>24.1</x:v>
      </x:c>
      <x:c r="H7" s="149" t="n">
        <x:v>0.031</x:v>
      </x:c>
      <x:c r="I7" s="137" t="str">
        <x:v>Mantener</x:v>
      </x:c>
      <x:c r="J7" s="151" t="n">
        <x:v>76</x:v>
      </x:c>
      <x:c r="K7" s="151" t="n">
        <x:v>61</x:v>
      </x:c>
      <x:c r="L7" s="123" t="n">
        <x:v>46277.5</x:v>
      </x:c>
      <x:c r="M7" s="121" t="str">
        <x:f>IF(COUNTA(A7:L7)=0,"",IF(N7="","Completo","Falta información"))</x:f>
        <x:v>Falta información</x:v>
      </x:c>
      <x:c r="N7" s="133" t="str">
        <x:f>IF(COUNTA(A7:L7)=0,"",IF(A7="","Ticker; ","")&amp;IF(B7="","Motivo; ","")&amp;IF(D7="","Entrada desde; ","")&amp;IF(E7="","Entrada hasta; ","")&amp;IF(L7="","Próxima revisión; ",""))</x:f>
        <x:v>Entrada hasta; </x:v>
      </x:c>
    </x:row>
    <x:row r="8">
      <x:c r="A8" s="119"/>
      <x:c r="B8" s="143"/>
      <x:c r="C8" s="137"/>
      <x:c r="D8" s="128"/>
      <x:c r="E8" s="128"/>
      <x:c r="F8" s="141"/>
      <x:c r="G8" s="147"/>
      <x:c r="H8" s="149"/>
      <x:c r="I8" s="137"/>
      <x:c r="J8" s="151"/>
      <x:c r="K8" s="151"/>
      <x:c r="L8" s="123"/>
      <x:c r="M8" s="121" t="str">
        <x:f>IF(COUNTA(A8:L8)=0,"",IF(N8="","Completo","Falta información"))</x:f>
      </x:c>
      <x:c r="N8" s="133" t="str">
        <x:f>IF(COUNTA(A8:L8)=0,"",IF(A8="","Ticker; ","")&amp;IF(B8="","Motivo; ","")&amp;IF(D8="","Entrada desde; ","")&amp;IF(E8="","Entrada hasta; ","")&amp;IF(L8="","Próxima revisión; ",""))</x:f>
      </x:c>
    </x:row>
    <x:row r="9">
      <x:c r="A9" s="119"/>
      <x:c r="B9" s="143"/>
      <x:c r="C9" s="137"/>
      <x:c r="D9" s="128"/>
      <x:c r="E9" s="128"/>
      <x:c r="F9" s="141"/>
      <x:c r="G9" s="147"/>
      <x:c r="H9" s="149"/>
      <x:c r="I9" s="137"/>
      <x:c r="J9" s="151"/>
      <x:c r="K9" s="151"/>
      <x:c r="L9" s="123"/>
      <x:c r="M9" s="121" t="str">
        <x:f>IF(COUNTA(A9:L9)=0,"",IF(N9="","Completo","Falta información"))</x:f>
      </x:c>
      <x:c r="N9" s="133" t="str">
        <x:f>IF(COUNTA(A9:L9)=0,"",IF(A9="","Ticker; ","")&amp;IF(B9="","Motivo; ","")&amp;IF(D9="","Entrada desde; ","")&amp;IF(E9="","Entrada hasta; ","")&amp;IF(L9="","Próxima revisión; ",""))</x:f>
      </x:c>
    </x:row>
    <x:row r="10">
      <x:c r="A10" s="119"/>
      <x:c r="B10" s="143"/>
      <x:c r="C10" s="137"/>
      <x:c r="D10" s="128"/>
      <x:c r="E10" s="128"/>
      <x:c r="F10" s="141"/>
      <x:c r="G10" s="147"/>
      <x:c r="H10" s="149"/>
      <x:c r="I10" s="137"/>
      <x:c r="J10" s="151"/>
      <x:c r="K10" s="151"/>
      <x:c r="L10" s="123"/>
      <x:c r="M10" s="121" t="str">
        <x:f>IF(COUNTA(A10:L10)=0,"",IF(N10="","Completo","Falta información"))</x:f>
      </x:c>
      <x:c r="N10" s="133" t="str">
        <x:f>IF(COUNTA(A10:L10)=0,"",IF(A10="","Ticker; ","")&amp;IF(B10="","Motivo; ","")&amp;IF(D10="","Entrada desde; ","")&amp;IF(E10="","Entrada hasta; ","")&amp;IF(L10="","Próxima revisión; ",""))</x:f>
      </x:c>
    </x:row>
    <x:row r="11">
      <x:c r="A11" s="119"/>
      <x:c r="B11" s="143"/>
      <x:c r="C11" s="137"/>
      <x:c r="D11" s="128"/>
      <x:c r="E11" s="128"/>
      <x:c r="F11" s="141"/>
      <x:c r="G11" s="147"/>
      <x:c r="H11" s="149"/>
      <x:c r="I11" s="137"/>
      <x:c r="J11" s="151"/>
      <x:c r="K11" s="151"/>
      <x:c r="L11" s="123"/>
      <x:c r="M11" s="121" t="str">
        <x:f>IF(COUNTA(A11:L11)=0,"",IF(N11="","Completo","Falta información"))</x:f>
      </x:c>
      <x:c r="N11" s="133" t="str">
        <x:f>IF(COUNTA(A11:L11)=0,"",IF(A11="","Ticker; ","")&amp;IF(B11="","Motivo; ","")&amp;IF(D11="","Entrada desde; ","")&amp;IF(E11="","Entrada hasta; ","")&amp;IF(L11="","Próxima revisión; ",""))</x:f>
      </x:c>
    </x:row>
    <x:row r="12">
      <x:c r="A12" s="119"/>
      <x:c r="B12" s="143"/>
      <x:c r="C12" s="137"/>
      <x:c r="D12" s="128"/>
      <x:c r="E12" s="128"/>
      <x:c r="F12" s="141"/>
      <x:c r="G12" s="147"/>
      <x:c r="H12" s="149"/>
      <x:c r="I12" s="137"/>
      <x:c r="J12" s="151"/>
      <x:c r="K12" s="151"/>
      <x:c r="L12" s="123"/>
      <x:c r="M12" s="121" t="str">
        <x:f>IF(COUNTA(A12:L12)=0,"",IF(N12="","Completo","Falta información"))</x:f>
      </x:c>
      <x:c r="N12" s="133" t="str">
        <x:f>IF(COUNTA(A12:L12)=0,"",IF(A12="","Ticker; ","")&amp;IF(B12="","Motivo; ","")&amp;IF(D12="","Entrada desde; ","")&amp;IF(E12="","Entrada hasta; ","")&amp;IF(L12="","Próxima revisión; ",""))</x:f>
      </x:c>
    </x:row>
    <x:row r="13">
      <x:c r="A13" s="119"/>
      <x:c r="B13" s="143"/>
      <x:c r="C13" s="137"/>
      <x:c r="D13" s="128"/>
      <x:c r="E13" s="128"/>
      <x:c r="F13" s="141"/>
      <x:c r="G13" s="147"/>
      <x:c r="H13" s="149"/>
      <x:c r="I13" s="137"/>
      <x:c r="J13" s="151"/>
      <x:c r="K13" s="151"/>
      <x:c r="L13" s="123"/>
      <x:c r="M13" s="121" t="str">
        <x:f>IF(COUNTA(A13:L13)=0,"",IF(N13="","Completo","Falta información"))</x:f>
      </x:c>
      <x:c r="N13" s="133" t="str">
        <x:f>IF(COUNTA(A13:L13)=0,"",IF(A13="","Ticker; ","")&amp;IF(B13="","Motivo; ","")&amp;IF(D13="","Entrada desde; ","")&amp;IF(E13="","Entrada hasta; ","")&amp;IF(L13="","Próxima revisión; ",""))</x:f>
      </x:c>
    </x:row>
    <x:row r="14">
      <x:c r="A14" s="119"/>
      <x:c r="B14" s="143"/>
      <x:c r="C14" s="137"/>
      <x:c r="D14" s="128"/>
      <x:c r="E14" s="128"/>
      <x:c r="F14" s="141"/>
      <x:c r="G14" s="147"/>
      <x:c r="H14" s="149"/>
      <x:c r="I14" s="137"/>
      <x:c r="J14" s="151"/>
      <x:c r="K14" s="151"/>
      <x:c r="L14" s="123"/>
      <x:c r="M14" s="121" t="str">
        <x:f>IF(COUNTA(A14:L14)=0,"",IF(N14="","Completo","Falta información"))</x:f>
      </x:c>
      <x:c r="N14" s="133" t="str">
        <x:f>IF(COUNTA(A14:L14)=0,"",IF(A14="","Ticker; ","")&amp;IF(B14="","Motivo; ","")&amp;IF(D14="","Entrada desde; ","")&amp;IF(E14="","Entrada hasta; ","")&amp;IF(L14="","Próxima revisión; ",""))</x:f>
      </x:c>
    </x:row>
    <x:row r="15">
      <x:c r="A15" s="119"/>
      <x:c r="B15" s="143"/>
      <x:c r="C15" s="137"/>
      <x:c r="D15" s="128"/>
      <x:c r="E15" s="128"/>
      <x:c r="F15" s="141"/>
      <x:c r="G15" s="147"/>
      <x:c r="H15" s="149"/>
      <x:c r="I15" s="137"/>
      <x:c r="J15" s="151"/>
      <x:c r="K15" s="151"/>
      <x:c r="L15" s="123"/>
      <x:c r="M15" s="121" t="str">
        <x:f>IF(COUNTA(A15:L15)=0,"",IF(N15="","Completo","Falta información"))</x:f>
      </x:c>
      <x:c r="N15" s="133" t="str">
        <x:f>IF(COUNTA(A15:L15)=0,"",IF(A15="","Ticker; ","")&amp;IF(B15="","Motivo; ","")&amp;IF(D15="","Entrada desde; ","")&amp;IF(E15="","Entrada hasta; ","")&amp;IF(L15="","Próxima revisión; ",""))</x:f>
      </x:c>
    </x:row>
    <x:row r="16">
      <x:c r="A16" s="119"/>
      <x:c r="B16" s="143"/>
      <x:c r="C16" s="137"/>
      <x:c r="D16" s="128"/>
      <x:c r="E16" s="128"/>
      <x:c r="F16" s="141"/>
      <x:c r="G16" s="147"/>
      <x:c r="H16" s="149"/>
      <x:c r="I16" s="137"/>
      <x:c r="J16" s="151"/>
      <x:c r="K16" s="151"/>
      <x:c r="L16" s="123"/>
      <x:c r="M16" s="121" t="str">
        <x:f>IF(COUNTA(A16:L16)=0,"",IF(N16="","Completo","Falta información"))</x:f>
      </x:c>
      <x:c r="N16" s="133" t="str">
        <x:f>IF(COUNTA(A16:L16)=0,"",IF(A16="","Ticker; ","")&amp;IF(B16="","Motivo; ","")&amp;IF(D16="","Entrada desde; ","")&amp;IF(E16="","Entrada hasta; ","")&amp;IF(L16="","Próxima revisión; ",""))</x:f>
      </x:c>
    </x:row>
    <x:row r="17">
      <x:c r="A17" s="119"/>
      <x:c r="B17" s="143"/>
      <x:c r="C17" s="137"/>
      <x:c r="D17" s="128"/>
      <x:c r="E17" s="128"/>
      <x:c r="F17" s="141"/>
      <x:c r="G17" s="147"/>
      <x:c r="H17" s="149"/>
      <x:c r="I17" s="137"/>
      <x:c r="J17" s="151"/>
      <x:c r="K17" s="151"/>
      <x:c r="L17" s="123"/>
      <x:c r="M17" s="121" t="str">
        <x:f>IF(COUNTA(A17:L17)=0,"",IF(N17="","Completo","Falta información"))</x:f>
      </x:c>
      <x:c r="N17" s="133" t="str">
        <x:f>IF(COUNTA(A17:L17)=0,"",IF(A17="","Ticker; ","")&amp;IF(B17="","Motivo; ","")&amp;IF(D17="","Entrada desde; ","")&amp;IF(E17="","Entrada hasta; ","")&amp;IF(L17="","Próxima revisión; ",""))</x:f>
      </x:c>
    </x:row>
    <x:row r="18">
      <x:c r="A18" s="119"/>
      <x:c r="B18" s="143"/>
      <x:c r="C18" s="137"/>
      <x:c r="D18" s="128"/>
      <x:c r="E18" s="128"/>
      <x:c r="F18" s="141"/>
      <x:c r="G18" s="147"/>
      <x:c r="H18" s="149"/>
      <x:c r="I18" s="137"/>
      <x:c r="J18" s="151"/>
      <x:c r="K18" s="151"/>
      <x:c r="L18" s="123"/>
      <x:c r="M18" s="121" t="str">
        <x:f>IF(COUNTA(A18:L18)=0,"",IF(N18="","Completo","Falta información"))</x:f>
      </x:c>
      <x:c r="N18" s="133" t="str">
        <x:f>IF(COUNTA(A18:L18)=0,"",IF(A18="","Ticker; ","")&amp;IF(B18="","Motivo; ","")&amp;IF(D18="","Entrada desde; ","")&amp;IF(E18="","Entrada hasta; ","")&amp;IF(L18="","Próxima revisión; ",""))</x:f>
      </x:c>
    </x:row>
    <x:row r="19">
      <x:c r="A19" s="119"/>
      <x:c r="B19" s="143"/>
      <x:c r="C19" s="137"/>
      <x:c r="D19" s="128"/>
      <x:c r="E19" s="128"/>
      <x:c r="F19" s="141"/>
      <x:c r="G19" s="147"/>
      <x:c r="H19" s="149"/>
      <x:c r="I19" s="137"/>
      <x:c r="J19" s="151"/>
      <x:c r="K19" s="151"/>
      <x:c r="L19" s="123"/>
      <x:c r="M19" s="121" t="str">
        <x:f>IF(COUNTA(A19:L19)=0,"",IF(N19="","Completo","Falta información"))</x:f>
      </x:c>
      <x:c r="N19" s="133" t="str">
        <x:f>IF(COUNTA(A19:L19)=0,"",IF(A19="","Ticker; ","")&amp;IF(B19="","Motivo; ","")&amp;IF(D19="","Entrada desde; ","")&amp;IF(E19="","Entrada hasta; ","")&amp;IF(L19="","Próxima revisión; ",""))</x:f>
      </x:c>
    </x:row>
    <x:row r="20">
      <x:c r="A20" s="119"/>
      <x:c r="B20" s="143"/>
      <x:c r="C20" s="137"/>
      <x:c r="D20" s="128"/>
      <x:c r="E20" s="128"/>
      <x:c r="F20" s="141"/>
      <x:c r="G20" s="147"/>
      <x:c r="H20" s="149"/>
      <x:c r="I20" s="137"/>
      <x:c r="J20" s="151"/>
      <x:c r="K20" s="151"/>
      <x:c r="L20" s="123"/>
      <x:c r="M20" s="121" t="str">
        <x:f>IF(COUNTA(A20:L20)=0,"",IF(N20="","Completo","Falta información"))</x:f>
      </x:c>
      <x:c r="N20" s="133" t="str">
        <x:f>IF(COUNTA(A20:L20)=0,"",IF(A20="","Ticker; ","")&amp;IF(B20="","Motivo; ","")&amp;IF(D20="","Entrada desde; ","")&amp;IF(E20="","Entrada hasta; ","")&amp;IF(L20="","Próxima revisión; ",""))</x:f>
      </x:c>
    </x:row>
    <x:row r="21">
      <x:c r="A21" s="119"/>
      <x:c r="B21" s="143"/>
      <x:c r="C21" s="137"/>
      <x:c r="D21" s="128"/>
      <x:c r="E21" s="128"/>
      <x:c r="F21" s="141"/>
      <x:c r="G21" s="147"/>
      <x:c r="H21" s="149"/>
      <x:c r="I21" s="137"/>
      <x:c r="J21" s="151"/>
      <x:c r="K21" s="151"/>
      <x:c r="L21" s="123"/>
      <x:c r="M21" s="121" t="str">
        <x:f>IF(COUNTA(A21:L21)=0,"",IF(N21="","Completo","Falta información"))</x:f>
      </x:c>
      <x:c r="N21" s="133" t="str">
        <x:f>IF(COUNTA(A21:L21)=0,"",IF(A21="","Ticker; ","")&amp;IF(B21="","Motivo; ","")&amp;IF(D21="","Entrada desde; ","")&amp;IF(E21="","Entrada hasta; ","")&amp;IF(L21="","Próxima revisión; ",""))</x:f>
      </x:c>
    </x:row>
    <x:row r="22">
      <x:c r="A22" s="119"/>
      <x:c r="B22" s="143"/>
      <x:c r="C22" s="137"/>
      <x:c r="D22" s="128"/>
      <x:c r="E22" s="128"/>
      <x:c r="F22" s="141"/>
      <x:c r="G22" s="147"/>
      <x:c r="H22" s="149"/>
      <x:c r="I22" s="137"/>
      <x:c r="J22" s="151"/>
      <x:c r="K22" s="151"/>
      <x:c r="L22" s="123"/>
      <x:c r="M22" s="121" t="str">
        <x:f>IF(COUNTA(A22:L22)=0,"",IF(N22="","Completo","Falta información"))</x:f>
      </x:c>
      <x:c r="N22" s="133" t="str">
        <x:f>IF(COUNTA(A22:L22)=0,"",IF(A22="","Ticker; ","")&amp;IF(B22="","Motivo; ","")&amp;IF(D22="","Entrada desde; ","")&amp;IF(E22="","Entrada hasta; ","")&amp;IF(L22="","Próxima revisión; ",""))</x:f>
      </x:c>
    </x:row>
    <x:row r="23">
      <x:c r="A23" s="119"/>
      <x:c r="B23" s="143"/>
      <x:c r="C23" s="137"/>
      <x:c r="D23" s="128"/>
      <x:c r="E23" s="128"/>
      <x:c r="F23" s="141"/>
      <x:c r="G23" s="147"/>
      <x:c r="H23" s="149"/>
      <x:c r="I23" s="137"/>
      <x:c r="J23" s="151"/>
      <x:c r="K23" s="151"/>
      <x:c r="L23" s="123"/>
      <x:c r="M23" s="121" t="str">
        <x:f>IF(COUNTA(A23:L23)=0,"",IF(N23="","Completo","Falta información"))</x:f>
      </x:c>
      <x:c r="N23" s="133" t="str">
        <x:f>IF(COUNTA(A23:L23)=0,"",IF(A23="","Ticker; ","")&amp;IF(B23="","Motivo; ","")&amp;IF(D23="","Entrada desde; ","")&amp;IF(E23="","Entrada hasta; ","")&amp;IF(L23="","Próxima revisión; ",""))</x:f>
      </x:c>
    </x:row>
    <x:row r="24">
      <x:c r="A24" s="119"/>
      <x:c r="B24" s="143"/>
      <x:c r="C24" s="137"/>
      <x:c r="D24" s="128"/>
      <x:c r="E24" s="128"/>
      <x:c r="F24" s="141"/>
      <x:c r="G24" s="147"/>
      <x:c r="H24" s="149"/>
      <x:c r="I24" s="137"/>
      <x:c r="J24" s="151"/>
      <x:c r="K24" s="151"/>
      <x:c r="L24" s="123"/>
      <x:c r="M24" s="121" t="str">
        <x:f>IF(COUNTA(A24:L24)=0,"",IF(N24="","Completo","Falta información"))</x:f>
      </x:c>
      <x:c r="N24" s="133" t="str">
        <x:f>IF(COUNTA(A24:L24)=0,"",IF(A24="","Ticker; ","")&amp;IF(B24="","Motivo; ","")&amp;IF(D24="","Entrada desde; ","")&amp;IF(E24="","Entrada hasta; ","")&amp;IF(L24="","Próxima revisión; ",""))</x:f>
      </x:c>
    </x:row>
    <x:row r="25">
      <x:c r="A25" s="119"/>
      <x:c r="B25" s="143"/>
      <x:c r="C25" s="137"/>
      <x:c r="D25" s="128"/>
      <x:c r="E25" s="128"/>
      <x:c r="F25" s="141"/>
      <x:c r="G25" s="147"/>
      <x:c r="H25" s="149"/>
      <x:c r="I25" s="137"/>
      <x:c r="J25" s="151"/>
      <x:c r="K25" s="151"/>
      <x:c r="L25" s="123"/>
      <x:c r="M25" s="121" t="str">
        <x:f>IF(COUNTA(A25:L25)=0,"",IF(N25="","Completo","Falta información"))</x:f>
      </x:c>
      <x:c r="N25" s="133" t="str">
        <x:f>IF(COUNTA(A25:L25)=0,"",IF(A25="","Ticker; ","")&amp;IF(B25="","Motivo; ","")&amp;IF(D25="","Entrada desde; ","")&amp;IF(E25="","Entrada hasta; ","")&amp;IF(L25="","Próxima revisión; ",""))</x:f>
      </x:c>
    </x:row>
  </x:sheetData>
  <x:mergeCells>
    <x:mergeCell ref="A1:N1"/>
    <x:mergeCell ref="A2:N3"/>
  </x:mergeCells>
  <x:conditionalFormatting sqref="M6:M25">
    <x:cfRule type="containsText" dxfId="32" priority="1" operator="containsText" text="Falta información"/>
    <x:cfRule type="containsText" dxfId="33" priority="2" operator="containsText" text="Completo"/>
  </x:conditionalFormatting>
  <x:conditionalFormatting sqref="A6:A25">
    <x:cfRule type="expression" dxfId="34" priority="3">
      <x:formula>AND(COUNTA($A6:$L6)&gt;0,$A6="")</x:formula>
    </x:cfRule>
  </x:conditionalFormatting>
  <x:conditionalFormatting sqref="B6:B25">
    <x:cfRule type="expression" dxfId="35" priority="4">
      <x:formula>AND(COUNTA($A6:$L6)&gt;0,$B6="")</x:formula>
    </x:cfRule>
  </x:conditionalFormatting>
  <x:conditionalFormatting sqref="D6:D25">
    <x:cfRule type="expression" dxfId="36" priority="5">
      <x:formula>AND(COUNTA($A6:$L6)&gt;0,$D6="")</x:formula>
    </x:cfRule>
  </x:conditionalFormatting>
  <x:conditionalFormatting sqref="E6:E25">
    <x:cfRule type="expression" dxfId="37" priority="6">
      <x:formula>AND(COUNTA($A6:$L6)&gt;0,$E6="")</x:formula>
    </x:cfRule>
  </x:conditionalFormatting>
  <x:conditionalFormatting sqref="L6:L25">
    <x:cfRule type="expression" dxfId="38" priority="7">
      <x:formula>AND(COUNTA($A6:$L6)&gt;0,$L6="")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0aedffc130b4df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8" hidden="0" customWidth="1"/>
    <x:col min="4" max="4" width="17" hidden="0" customWidth="1"/>
    <x:col min="5" max="5" width="15" hidden="0" customWidth="1"/>
    <x:col min="6" max="6" width="15" hidden="0" customWidth="1"/>
    <x:col min="7" max="7" width="14" hidden="0" customWidth="1"/>
    <x:col min="8" max="8" width="13" hidden="0" customWidth="1"/>
    <x:col min="9" max="9" width="35" hidden="0" customWidth="1"/>
    <x:col min="10" max="10" width="35" hidden="0" customWidth="1"/>
    <x:col min="11" max="11" width="34" hidden="0" customWidth="1"/>
    <x:col min="12" max="12" width="19" hidden="0" customWidth="1"/>
    <x:col min="13" max="13" width="25" hidden="0" customWidth="1"/>
  </x:cols>
  <x:sheetData>
    <x:row r="1" ht="34" customHeight="1">
      <x:c r="A1" s="3" t="str">
        <x:v>Recomendaciones y decisiones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8" customHeight="1">
      <x:c r="A2" s="7" t="str">
        <x:v>Bitácora que completa el agente. La fila ACME es ficticia y solo muestra el formato; una recomendación real siempre incluirá fecha de los datos y enlaces verificables.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3" ht="12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</x:row>
    <x:row r="5" ht="34" customHeight="1">
      <x:c r="A5" s="110" t="str">
        <x:v>Fecha</x:v>
      </x:c>
      <x:c r="B5" s="111" t="str">
        <x:v>Ticker</x:v>
      </x:c>
      <x:c r="C5" s="111" t="str">
        <x:v>Recomendación</x:v>
      </x:c>
      <x:c r="D5" s="111" t="str">
        <x:v>Precio analizado</x:v>
      </x:c>
      <x:c r="E5" s="111" t="str">
        <x:v>Entrada desde</x:v>
      </x:c>
      <x:c r="F5" s="111" t="str">
        <x:v>Entrada hasta</x:v>
      </x:c>
      <x:c r="G5" s="111" t="str">
        <x:v>Objetivo</x:v>
      </x:c>
      <x:c r="H5" s="111" t="str">
        <x:v>Confianza</x:v>
      </x:c>
      <x:c r="I5" s="111" t="str">
        <x:v>Razones</x:v>
      </x:c>
      <x:c r="J5" s="111" t="str">
        <x:v>Riesgos</x:v>
      </x:c>
      <x:c r="K5" s="111" t="str">
        <x:v>Fuentes</x:v>
      </x:c>
      <x:c r="L5" s="111" t="str">
        <x:v>Decisión del usuario</x:v>
      </x:c>
      <x:c r="M5" s="112" t="str">
        <x:v>Resultado / seguimiento</x:v>
      </x:c>
    </x:row>
    <x:row r="6">
      <x:c r="A6" s="152" t="n">
        <x:v>46247.5</x:v>
      </x:c>
      <x:c r="B6" s="136" t="str">
        <x:v>ACME (ficticia)</x:v>
      </x:c>
      <x:c r="C6" s="136" t="str">
        <x:v>ESPERAR</x:v>
      </x:c>
      <x:c r="D6" s="140" t="n">
        <x:v>100</x:v>
      </x:c>
      <x:c r="E6" s="140" t="n">
        <x:v>90</x:v>
      </x:c>
      <x:c r="F6" s="140" t="n">
        <x:v>95</x:v>
      </x:c>
      <x:c r="G6" s="140" t="n">
        <x:v>120</x:v>
      </x:c>
      <x:c r="H6" s="136" t="str">
        <x:v>Media</x:v>
      </x:c>
      <x:c r="I6" s="154" t="str">
        <x:v>Buen negocio, pero todavía fuera de la zona definida.</x:v>
      </x:c>
      <x:c r="J6" s="154" t="str">
        <x:v>Valuación exigente y desaceleración potencial.</x:v>
      </x:c>
      <x:c r="K6" s="154" t="str">
        <x:v>Ejemplo sin fuentes reales</x:v>
      </x:c>
      <x:c r="L6" s="142" t="str">
        <x:v>Pendiente</x:v>
      </x:c>
      <x:c r="M6" s="132" t="str">
        <x:v>Revisar en 30 días</x:v>
      </x:c>
    </x:row>
    <x:row r="7">
      <x:c r="A7" s="153"/>
      <x:c r="B7" s="137"/>
      <x:c r="C7" s="137"/>
      <x:c r="D7" s="141"/>
      <x:c r="E7" s="141"/>
      <x:c r="F7" s="141"/>
      <x:c r="G7" s="141"/>
      <x:c r="H7" s="137"/>
      <x:c r="I7" s="155"/>
      <x:c r="J7" s="155"/>
      <x:c r="K7" s="155"/>
      <x:c r="L7" s="143"/>
      <x:c r="M7" s="133"/>
    </x:row>
    <x:row r="8">
      <x:c r="A8" s="153"/>
      <x:c r="B8" s="137"/>
      <x:c r="C8" s="137"/>
      <x:c r="D8" s="141"/>
      <x:c r="E8" s="141"/>
      <x:c r="F8" s="141"/>
      <x:c r="G8" s="141"/>
      <x:c r="H8" s="137"/>
      <x:c r="I8" s="155"/>
      <x:c r="J8" s="155"/>
      <x:c r="K8" s="155"/>
      <x:c r="L8" s="143"/>
      <x:c r="M8" s="133"/>
    </x:row>
    <x:row r="9">
      <x:c r="A9" s="153"/>
      <x:c r="B9" s="137"/>
      <x:c r="C9" s="137"/>
      <x:c r="D9" s="141"/>
      <x:c r="E9" s="141"/>
      <x:c r="F9" s="141"/>
      <x:c r="G9" s="141"/>
      <x:c r="H9" s="137"/>
      <x:c r="I9" s="155"/>
      <x:c r="J9" s="155"/>
      <x:c r="K9" s="155"/>
      <x:c r="L9" s="143"/>
      <x:c r="M9" s="133"/>
    </x:row>
    <x:row r="10">
      <x:c r="A10" s="153"/>
      <x:c r="B10" s="137"/>
      <x:c r="C10" s="137"/>
      <x:c r="D10" s="141"/>
      <x:c r="E10" s="141"/>
      <x:c r="F10" s="141"/>
      <x:c r="G10" s="141"/>
      <x:c r="H10" s="137"/>
      <x:c r="I10" s="155"/>
      <x:c r="J10" s="155"/>
      <x:c r="K10" s="155"/>
      <x:c r="L10" s="143"/>
      <x:c r="M10" s="133"/>
    </x:row>
    <x:row r="11">
      <x:c r="A11" s="153"/>
      <x:c r="B11" s="137"/>
      <x:c r="C11" s="137"/>
      <x:c r="D11" s="141"/>
      <x:c r="E11" s="141"/>
      <x:c r="F11" s="141"/>
      <x:c r="G11" s="141"/>
      <x:c r="H11" s="137"/>
      <x:c r="I11" s="155"/>
      <x:c r="J11" s="155"/>
      <x:c r="K11" s="155"/>
      <x:c r="L11" s="143"/>
      <x:c r="M11" s="133"/>
    </x:row>
    <x:row r="12">
      <x:c r="A12" s="153"/>
      <x:c r="B12" s="137"/>
      <x:c r="C12" s="137"/>
      <x:c r="D12" s="141"/>
      <x:c r="E12" s="141"/>
      <x:c r="F12" s="141"/>
      <x:c r="G12" s="141"/>
      <x:c r="H12" s="137"/>
      <x:c r="I12" s="155"/>
      <x:c r="J12" s="155"/>
      <x:c r="K12" s="155"/>
      <x:c r="L12" s="143"/>
      <x:c r="M12" s="133"/>
    </x:row>
    <x:row r="13">
      <x:c r="A13" s="153"/>
      <x:c r="B13" s="137"/>
      <x:c r="C13" s="137"/>
      <x:c r="D13" s="141"/>
      <x:c r="E13" s="141"/>
      <x:c r="F13" s="141"/>
      <x:c r="G13" s="141"/>
      <x:c r="H13" s="137"/>
      <x:c r="I13" s="155"/>
      <x:c r="J13" s="155"/>
      <x:c r="K13" s="155"/>
      <x:c r="L13" s="143"/>
      <x:c r="M13" s="133"/>
    </x:row>
    <x:row r="14">
      <x:c r="A14" s="153"/>
      <x:c r="B14" s="137"/>
      <x:c r="C14" s="137"/>
      <x:c r="D14" s="141"/>
      <x:c r="E14" s="141"/>
      <x:c r="F14" s="141"/>
      <x:c r="G14" s="141"/>
      <x:c r="H14" s="137"/>
      <x:c r="I14" s="155"/>
      <x:c r="J14" s="155"/>
      <x:c r="K14" s="155"/>
      <x:c r="L14" s="143"/>
      <x:c r="M14" s="133"/>
    </x:row>
    <x:row r="15">
      <x:c r="A15" s="153"/>
      <x:c r="B15" s="137"/>
      <x:c r="C15" s="137"/>
      <x:c r="D15" s="141"/>
      <x:c r="E15" s="141"/>
      <x:c r="F15" s="141"/>
      <x:c r="G15" s="141"/>
      <x:c r="H15" s="137"/>
      <x:c r="I15" s="155"/>
      <x:c r="J15" s="155"/>
      <x:c r="K15" s="155"/>
      <x:c r="L15" s="143"/>
      <x:c r="M15" s="133"/>
    </x:row>
    <x:row r="16">
      <x:c r="A16" s="153"/>
      <x:c r="B16" s="137"/>
      <x:c r="C16" s="137"/>
      <x:c r="D16" s="141"/>
      <x:c r="E16" s="141"/>
      <x:c r="F16" s="141"/>
      <x:c r="G16" s="141"/>
      <x:c r="H16" s="137"/>
      <x:c r="I16" s="155"/>
      <x:c r="J16" s="155"/>
      <x:c r="K16" s="155"/>
      <x:c r="L16" s="143"/>
      <x:c r="M16" s="133"/>
    </x:row>
    <x:row r="17">
      <x:c r="A17" s="153"/>
      <x:c r="B17" s="137"/>
      <x:c r="C17" s="137"/>
      <x:c r="D17" s="141"/>
      <x:c r="E17" s="141"/>
      <x:c r="F17" s="141"/>
      <x:c r="G17" s="141"/>
      <x:c r="H17" s="137"/>
      <x:c r="I17" s="155"/>
      <x:c r="J17" s="155"/>
      <x:c r="K17" s="155"/>
      <x:c r="L17" s="143"/>
      <x:c r="M17" s="133"/>
    </x:row>
    <x:row r="18">
      <x:c r="A18" s="153"/>
      <x:c r="B18" s="137"/>
      <x:c r="C18" s="137"/>
      <x:c r="D18" s="141"/>
      <x:c r="E18" s="141"/>
      <x:c r="F18" s="141"/>
      <x:c r="G18" s="141"/>
      <x:c r="H18" s="137"/>
      <x:c r="I18" s="155"/>
      <x:c r="J18" s="155"/>
      <x:c r="K18" s="155"/>
      <x:c r="L18" s="143"/>
      <x:c r="M18" s="133"/>
    </x:row>
    <x:row r="19">
      <x:c r="A19" s="153"/>
      <x:c r="B19" s="137"/>
      <x:c r="C19" s="137"/>
      <x:c r="D19" s="141"/>
      <x:c r="E19" s="141"/>
      <x:c r="F19" s="141"/>
      <x:c r="G19" s="141"/>
      <x:c r="H19" s="137"/>
      <x:c r="I19" s="155"/>
      <x:c r="J19" s="155"/>
      <x:c r="K19" s="155"/>
      <x:c r="L19" s="143"/>
      <x:c r="M19" s="133"/>
    </x:row>
    <x:row r="20">
      <x:c r="A20" s="153"/>
      <x:c r="B20" s="137"/>
      <x:c r="C20" s="137"/>
      <x:c r="D20" s="141"/>
      <x:c r="E20" s="141"/>
      <x:c r="F20" s="141"/>
      <x:c r="G20" s="141"/>
      <x:c r="H20" s="137"/>
      <x:c r="I20" s="155"/>
      <x:c r="J20" s="155"/>
      <x:c r="K20" s="155"/>
      <x:c r="L20" s="143"/>
      <x:c r="M20" s="133"/>
    </x:row>
  </x:sheetData>
  <x:mergeCells>
    <x:mergeCell ref="A1:M1"/>
    <x:mergeCell ref="A2:M3"/>
  </x:mergeCells>
  <x:dataValidations count="3">
    <x:dataValidation type="list" sqref="C6:C20">
      <x:formula1>"COMPRAR,ACUMULAR,MANTENER,ESPERAR,REDUCIR,SALIR"</x:formula1>
    </x:dataValidation>
    <x:dataValidation type="list" sqref="H6:H20">
      <x:formula1>"Alta,Media,Baja"</x:formula1>
    </x:dataValidation>
    <x:dataValidation type="list" sqref="L6:L20">
      <x:formula1>"Pendiente,Aceptada,Rechazada,Parcial"</x:formula1>
    </x:dataValidation>
  </x:dataValidations>
  <x:pageMargins left="0.7" right="0.7" top="0.75" bottom="0.75" header="0.3" footer="0.3"/>
  <x:legacyDrawing xmlns:r="http://schemas.openxmlformats.org/officeDocument/2006/relationships" r:id="Rd964774283784d68"/>
  <x:tableParts count="1">
    <x:tablePart xmlns:r="http://schemas.openxmlformats.org/officeDocument/2006/relationships" r:id="Rad85f35c4fa64c4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4" hidden="0" customWidth="1"/>
    <x:col min="3" max="3" width="14" hidden="0" customWidth="1"/>
    <x:col min="4" max="4" width="48" hidden="0" customWidth="1"/>
    <x:col min="5" max="5" width="19" hidden="0" customWidth="1"/>
  </x:cols>
  <x:sheetData>
    <x:row r="1" ht="34" customHeight="1">
      <x:c r="A1" s="3" t="str">
        <x:v>Configuración personal</x:v>
      </x:c>
      <x:c r="B1" s="3"/>
      <x:c r="C1" s="3"/>
      <x:c r="D1" s="3"/>
      <x:c r="E1" s="3"/>
    </x:row>
    <x:row r="2" ht="28" customHeight="1">
      <x:c r="A2" s="7" t="str">
        <x:v>Reglas globales utilizadas por el agente. Los límites son tuyos: si un campo obligatorio está vacío, el agente debe consultarte antes de recomendar una asignación.</x:v>
      </x:c>
      <x:c r="B2" s="7"/>
      <x:c r="C2" s="7"/>
      <x:c r="D2" s="7"/>
      <x:c r="E2" s="7"/>
    </x:row>
    <x:row r="3" ht="12" customHeight="1">
      <x:c r="A3" s="7"/>
      <x:c r="B3" s="7"/>
      <x:c r="C3" s="7"/>
      <x:c r="D3" s="7"/>
      <x:c r="E3" s="7"/>
    </x:row>
    <x:row r="5" ht="34" customHeight="1">
      <x:c r="A5" s="110" t="str">
        <x:v>Campo</x:v>
      </x:c>
      <x:c r="B5" s="111" t="str">
        <x:v>Valor</x:v>
      </x:c>
      <x:c r="C5" s="111" t="str">
        <x:v>Obligatorio</x:v>
      </x:c>
      <x:c r="D5" s="111" t="str">
        <x:v>Para qué se usa</x:v>
      </x:c>
      <x:c r="E5" s="112" t="str">
        <x:v>Estado</x:v>
      </x:c>
    </x:row>
    <x:row r="6">
      <x:c r="A6" s="116" t="str">
        <x:v>Moneda base</x:v>
      </x:c>
      <x:c r="B6" s="118" t="str">
        <x:v>USD</x:v>
      </x:c>
      <x:c r="C6" s="116" t="str">
        <x:v>Sí</x:v>
      </x:c>
      <x:c r="D6" s="156" t="str">
        <x:v>Presentar cartera y objetivos</x:v>
      </x:c>
      <x:c r="E6" s="120" t="str">
        <x:f>IF(AND(C6="Sí",B6=""),"Falta información","Completo")</x:f>
        <x:v>Completo</x:v>
      </x:c>
    </x:row>
    <x:row r="7">
      <x:c r="A7" s="117" t="str">
        <x:v>Perfil de riesgo</x:v>
      </x:c>
      <x:c r="B7" s="119" t="str">
        <x:v>Moderado</x:v>
      </x:c>
      <x:c r="C7" s="117" t="str">
        <x:v>Sí</x:v>
      </x:c>
      <x:c r="D7" s="157" t="str">
        <x:v>Calibrar volatilidad y concentración</x:v>
      </x:c>
      <x:c r="E7" s="121" t="str">
        <x:f>IF(AND(C7="Sí",B7=""),"Falta información","Completo")</x:f>
        <x:v>Completo</x:v>
      </x:c>
    </x:row>
    <x:row r="8">
      <x:c r="A8" s="117" t="str">
        <x:v>Horizonte principal</x:v>
      </x:c>
      <x:c r="B8" s="119" t="str">
        <x:v>Largo plazo</x:v>
      </x:c>
      <x:c r="C8" s="117" t="str">
        <x:v>Sí</x:v>
      </x:c>
      <x:c r="D8" s="157" t="str">
        <x:v>Evaluar tesis y catalizadores</x:v>
      </x:c>
      <x:c r="E8" s="121" t="str">
        <x:f>IF(AND(C8="Sí",B8=""),"Falta información","Completo")</x:f>
        <x:v>Completo</x:v>
      </x:c>
    </x:row>
    <x:row r="9">
      <x:c r="A9" s="117" t="str">
        <x:v>Capital disponible hoy</x:v>
      </x:c>
      <x:c r="B9" s="128" t="n">
        <x:v>1000</x:v>
      </x:c>
      <x:c r="C9" s="117" t="str">
        <x:v>No</x:v>
      </x:c>
      <x:c r="D9" s="157" t="str">
        <x:v>Simular nuevas compras</x:v>
      </x:c>
      <x:c r="E9" s="121" t="str">
        <x:f>IF(AND(C9="Sí",B9=""),"Falta información","Completo")</x:f>
        <x:v>Completo</x:v>
      </x:c>
    </x:row>
    <x:row r="10">
      <x:c r="A10" s="117" t="str">
        <x:v>Aporte mensual estimado</x:v>
      </x:c>
      <x:c r="B10" s="128" t="n">
        <x:v>300</x:v>
      </x:c>
      <x:c r="C10" s="117" t="str">
        <x:v>No</x:v>
      </x:c>
      <x:c r="D10" s="157" t="str">
        <x:v>Planificar acumulación</x:v>
      </x:c>
      <x:c r="E10" s="121" t="str">
        <x:f>IF(AND(C10="Sí",B10=""),"Falta información","Completo")</x:f>
        <x:v>Completo</x:v>
      </x:c>
    </x:row>
    <x:row r="11">
      <x:c r="A11" s="117" t="str">
        <x:v>Efectivo mínimo</x:v>
      </x:c>
      <x:c r="B11" s="139" t="n">
        <x:v>0.1</x:v>
      </x:c>
      <x:c r="C11" s="117" t="str">
        <x:v>Sí</x:v>
      </x:c>
      <x:c r="D11" s="157" t="str">
        <x:v>No invertir todo el saldo</x:v>
      </x:c>
      <x:c r="E11" s="121" t="str">
        <x:f>IF(AND(C11="Sí",B11=""),"Falta información","Completo")</x:f>
        <x:v>Completo</x:v>
      </x:c>
    </x:row>
    <x:row r="12">
      <x:c r="A12" s="117" t="str">
        <x:v>Peso máximo por acción</x:v>
      </x:c>
      <x:c r="B12" s="139" t="n">
        <x:v>0.12</x:v>
      </x:c>
      <x:c r="C12" s="117" t="str">
        <x:v>Sí</x:v>
      </x:c>
      <x:c r="D12" s="157" t="str">
        <x:v>Evitar concentración individual</x:v>
      </x:c>
      <x:c r="E12" s="121" t="str">
        <x:f>IF(AND(C12="Sí",B12=""),"Falta información","Completo")</x:f>
        <x:v>Completo</x:v>
      </x:c>
    </x:row>
    <x:row r="13">
      <x:c r="A13" s="117" t="str">
        <x:v>Peso máximo por sector</x:v>
      </x:c>
      <x:c r="B13" s="139" t="n">
        <x:v>0.3</x:v>
      </x:c>
      <x:c r="C13" s="117" t="str">
        <x:v>Sí</x:v>
      </x:c>
      <x:c r="D13" s="157" t="str">
        <x:v>Evitar concentración sectorial</x:v>
      </x:c>
      <x:c r="E13" s="121" t="str">
        <x:f>IF(AND(C13="Sí",B13=""),"Falta información","Completo")</x:f>
        <x:v>Completo</x:v>
      </x:c>
    </x:row>
    <x:row r="14">
      <x:c r="A14" s="117" t="str">
        <x:v>Pérdida máxima tolerable</x:v>
      </x:c>
      <x:c r="B14" s="139"/>
      <x:c r="C14" s="117" t="str">
        <x:v>Sí</x:v>
      </x:c>
      <x:c r="D14" s="157" t="str">
        <x:v>Ajustar riesgo total y alertas</x:v>
      </x:c>
      <x:c r="E14" s="121" t="str">
        <x:f>IF(AND(C14="Sí",B14=""),"Falta información","Completo")</x:f>
        <x:v>Falta información</x:v>
      </x:c>
    </x:row>
    <x:row r="15">
      <x:c r="A15" s="117" t="str">
        <x:v>Sectores excluidos</x:v>
      </x:c>
      <x:c r="B15" s="119" t="str"/>
      <x:c r="C15" s="117" t="str">
        <x:v>No</x:v>
      </x:c>
      <x:c r="D15" s="157" t="str">
        <x:v>Excluir ideas no deseadas</x:v>
      </x:c>
      <x:c r="E15" s="121" t="str">
        <x:f>IF(AND(C15="Sí",B15=""),"Falta información","Completo")</x:f>
        <x:v>Completo</x:v>
      </x:c>
    </x:row>
    <x:row r="16">
      <x:c r="A16" s="117" t="str">
        <x:v>Mercados permitidos</x:v>
      </x:c>
      <x:c r="B16" s="119" t="str">
        <x:v>EE.UU. / CEDEARs</x:v>
      </x:c>
      <x:c r="C16" s="117" t="str">
        <x:v>Sí</x:v>
      </x:c>
      <x:c r="D16" s="157" t="str">
        <x:v>Definir universo de búsqueda</x:v>
      </x:c>
      <x:c r="E16" s="121" t="str">
        <x:f>IF(AND(C16="Sí",B16=""),"Falta información","Completo")</x:f>
        <x:v>Completo</x:v>
      </x:c>
    </x:row>
    <x:row r="17">
      <x:c r="A17" s="117" t="str">
        <x:v>Modo de ejecución</x:v>
      </x:c>
      <x:c r="B17" s="119" t="str">
        <x:v>Solo recomendaciones</x:v>
      </x:c>
      <x:c r="C17" s="117" t="str">
        <x:v>Sí</x:v>
      </x:c>
      <x:c r="D17" s="157" t="str">
        <x:v>Impedir órdenes automáticas</x:v>
      </x:c>
      <x:c r="E17" s="121" t="str">
        <x:f>IF(AND(C17="Sí",B17=""),"Falta información","Completo")</x:f>
        <x:v>Completo</x:v>
      </x:c>
    </x:row>
  </x:sheetData>
  <x:mergeCells>
    <x:mergeCell ref="A1:E1"/>
    <x:mergeCell ref="A2:E3"/>
  </x:mergeCells>
  <x:conditionalFormatting sqref="E6:E17">
    <x:cfRule type="containsText" dxfId="39" priority="1" operator="containsText" text="Falta información"/>
    <x:cfRule type="containsText" dxfId="40" priority="2" operator="containsText" text="Completo"/>
  </x:conditionalFormatting>
  <x:conditionalFormatting sqref="B6:B17">
    <x:cfRule type="expression" dxfId="41" priority="3">
      <x:formula>AND($C6="Sí",$B6="")</x:formula>
    </x:cfRule>
  </x:conditionalFormatting>
  <x:dataValidations count="4">
    <x:dataValidation type="list" sqref="C6:C17">
      <x:formula1>"Sí,No"</x:formula1>
    </x:dataValidation>
    <x:dataValidation type="list" sqref="B7">
      <x:formula1>"Conservador,Moderado,Agresivo"</x:formula1>
    </x:dataValidation>
    <x:dataValidation type="list" sqref="B8">
      <x:formula1>"Corto plazo,Mediano plazo,Largo plazo"</x:formula1>
    </x:dataValidation>
    <x:dataValidation type="list" sqref="B17">
      <x:formula1>"Solo recomendaciones,Simulación,Ejecución manual confirmada"</x:formula1>
    </x:dataValidation>
  </x:dataValidations>
  <x:pageMargins left="0.7" right="0.7" top="0.75" bottom="0.75" header="0.3" footer="0.3"/>
  <x:legacyDrawing xmlns:r="http://schemas.openxmlformats.org/officeDocument/2006/relationships" r:id="Ra3e31fada3b94ae5"/>
  <x:tableParts count="1">
    <x:tablePart xmlns:r="http://schemas.openxmlformats.org/officeDocument/2006/relationships" r:id="Rc7474c5c55e04ad3"/>
  </x:tableParts>
</x:worksheet>
</file>